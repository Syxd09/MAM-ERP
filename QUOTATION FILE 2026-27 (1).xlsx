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E78AB5F7-16E1-41C9-8EF7-2275D7395829}" xr6:coauthVersionLast="47" xr6:coauthVersionMax="47" xr10:uidLastSave="{00000000-0000-0000-0000-000000000000}"/>
  <bookViews>
    <workbookView xWindow="-120" yWindow="-120" windowWidth="29040" windowHeight="16440" xr2:uid="{00000000-000D-0000-FFFF-FFFF00000000}"/>
  </bookViews>
  <sheets>
    <sheet name="Quo No.121 LUMENSPACE (2)" sheetId="175" r:id="rId1"/>
    <sheet name="Quo No.1" sheetId="174" r:id="rId2"/>
    <sheet name="Quo No.121 LUMENSPACE" sheetId="173" r:id="rId3"/>
    <sheet name="Quo No.120 SURETEX (40)" sheetId="172" r:id="rId4"/>
    <sheet name="Quo No.119 SURETEX (48)" sheetId="171" r:id="rId5"/>
    <sheet name="Quo No.115 SURETEX (42)" sheetId="149" r:id="rId6"/>
    <sheet name="Quo No.111 SURETEX (49)" sheetId="169" r:id="rId7"/>
    <sheet name="Quo No.110 EQUINOX SOLU (5)" sheetId="170" r:id="rId8"/>
    <sheet name="Quo No.109 S V ENG" sheetId="168" r:id="rId9"/>
    <sheet name="Quo No.108 SURETEX (48)" sheetId="167" r:id="rId10"/>
    <sheet name="Quo No.107 SURETEX (47)" sheetId="166" r:id="rId11"/>
    <sheet name="Quo No.106 SURETEX (46)" sheetId="164" r:id="rId12"/>
    <sheet name="Quo No.105 ELECTROLINKS TECH" sheetId="163" r:id="rId13"/>
    <sheet name="Quo No.104 CAPARO ENG " sheetId="162" r:id="rId14"/>
    <sheet name="Quo No.103 INDRA FOOD (2)" sheetId="161" r:id="rId15"/>
    <sheet name="Quo No.102 SURETEX (45)" sheetId="160" r:id="rId16"/>
    <sheet name="Quo No.101 AMPHENOL (8)" sheetId="159" r:id="rId17"/>
    <sheet name="Quo No.100 SAGIX" sheetId="158" r:id="rId18"/>
    <sheet name="Quo No.099 EQUINOX SOLU (4)" sheetId="157" r:id="rId19"/>
    <sheet name="Quo No.096 SURETEX (44)" sheetId="156" r:id="rId20"/>
    <sheet name="Quo No.095 SURETEX (43)" sheetId="155" r:id="rId21"/>
    <sheet name="Quo No.094 SURETEX (44)" sheetId="154" r:id="rId22"/>
    <sheet name="Quo No.093 SURETEX (42)" sheetId="152" r:id="rId23"/>
    <sheet name="Quo No.092 SURETEX (41)" sheetId="151" r:id="rId24"/>
    <sheet name="Quo No.091 SURETEX (39)" sheetId="141" r:id="rId25"/>
    <sheet name="Quo No.090 INDRA FOOD" sheetId="148" r:id="rId26"/>
    <sheet name="Quo No.089 SURETEX (41)" sheetId="145" r:id="rId27"/>
    <sheet name="Quo No.088 SURETEX (42)" sheetId="147" r:id="rId28"/>
    <sheet name="Quo No.087 AQUMATIX INC (2)" sheetId="146" r:id="rId29"/>
    <sheet name="Quo No.086 AQUMATIX INC" sheetId="144" r:id="rId30"/>
    <sheet name="Quo No.085 AMPHENOL (7)" sheetId="134" r:id="rId31"/>
    <sheet name="Quo No.084 SURETEX (40)" sheetId="142" r:id="rId32"/>
    <sheet name="Quo No.082 SURETEX (39)" sheetId="143" r:id="rId33"/>
    <sheet name="Quo No.081 SURETEX (38)" sheetId="140" r:id="rId34"/>
    <sheet name="Quo No.080 SURETEX (37)" sheetId="139" r:id="rId35"/>
    <sheet name="Quo No.079 SURETEX (36)" sheetId="138" r:id="rId36"/>
    <sheet name="Quo No.078 SURETEX (35)" sheetId="137" r:id="rId37"/>
    <sheet name="Quo No.077 SURETEX (35)" sheetId="136" r:id="rId38"/>
    <sheet name="Quo No.076 SURETEX (34)" sheetId="135" r:id="rId39"/>
    <sheet name="Quo No.075 SURETEX (33)" sheetId="133" r:id="rId40"/>
    <sheet name="Quo No.074 SURETEX (32)" sheetId="132" r:id="rId41"/>
    <sheet name="Quo No.073 CHETHAN" sheetId="131" r:id="rId42"/>
    <sheet name="Quo No.072 AMPHENOL (6)" sheetId="130" r:id="rId43"/>
    <sheet name="Quo No.071 SURETEX (33)" sheetId="129" r:id="rId44"/>
    <sheet name="Quo No.070 SURETEX (32)" sheetId="128" r:id="rId45"/>
    <sheet name="Quo No.069 V L ENGINEERING" sheetId="127" r:id="rId46"/>
    <sheet name="Quo No.068 AMPHENOL (6)" sheetId="120" r:id="rId47"/>
    <sheet name="Quo No.067 SURETEX (38)" sheetId="126" r:id="rId48"/>
    <sheet name="Quo No.066 EQUINOX SOLU (3)" sheetId="125" r:id="rId49"/>
    <sheet name="Quo No.065 KMF (3)" sheetId="124" r:id="rId50"/>
    <sheet name="Quo No.064 SURETEX (37)" sheetId="123" r:id="rId51"/>
    <sheet name="Quo No.063 SURETEX (36)" sheetId="122" r:id="rId52"/>
    <sheet name="Quo No.062 SURETEX (35)" sheetId="121" r:id="rId53"/>
    <sheet name="Quo No.061 EQUINOX SOLU (2)" sheetId="119" r:id="rId54"/>
    <sheet name="Quo No.060 AMPHENOL (6)" sheetId="118" r:id="rId55"/>
    <sheet name="Quo No.059 AMPHENOL (5)" sheetId="117" r:id="rId56"/>
    <sheet name="Quo No.058 SURETEX (35)" sheetId="116" r:id="rId57"/>
    <sheet name="Quo No.057 SURETEX (34)" sheetId="115" r:id="rId58"/>
    <sheet name="Quo No.056 THERMEX INDIA" sheetId="114" r:id="rId59"/>
    <sheet name="Quo No.055 EQUINOX SOLU" sheetId="113" r:id="rId60"/>
    <sheet name="054 AMPHENOL" sheetId="112" r:id="rId61"/>
    <sheet name="Quo No.053 SURETEX (33)" sheetId="111" r:id="rId62"/>
    <sheet name="Quo No.052 SURETEX (32)" sheetId="110" r:id="rId63"/>
    <sheet name="Quo No.051 SURETEX (31)" sheetId="109" r:id="rId64"/>
    <sheet name="Quo No.050 BAMUL" sheetId="102" r:id="rId65"/>
    <sheet name="Quo No.049 SURETEX (29)" sheetId="108" r:id="rId66"/>
    <sheet name="Quo No.048 SURETEX (28)" sheetId="107" r:id="rId67"/>
    <sheet name="Quo No.047 SURETEX (32)" sheetId="106" r:id="rId68"/>
    <sheet name="Quo No.046 SURETEX (31)" sheetId="105" r:id="rId69"/>
    <sheet name="Quo No.045 SURETEX (30)" sheetId="104" r:id="rId70"/>
    <sheet name="Quo No.044 SURETEX (29)" sheetId="101" r:id="rId71"/>
    <sheet name="Quo No.043 SURETEX (29)" sheetId="103" r:id="rId72"/>
    <sheet name="Quo No.042 SURETEX (28)" sheetId="100" r:id="rId73"/>
    <sheet name="Quo No.041 SURETEX (27)" sheetId="99" r:id="rId74"/>
    <sheet name="Quo No.040 SURETEX (26)" sheetId="98" r:id="rId75"/>
    <sheet name="Quo No.039 SURETEX (25)" sheetId="97" r:id="rId76"/>
    <sheet name="Quo No.038 SURETEX (24)" sheetId="96" r:id="rId77"/>
    <sheet name="Quo No.037 SURETEX (23)" sheetId="95" r:id="rId78"/>
    <sheet name="Quo No.036 SURETEX (22)" sheetId="94" r:id="rId79"/>
    <sheet name="Quo No.035 SURETEX (21)" sheetId="93" r:id="rId80"/>
    <sheet name="Quo No.034 SURETEX (20)" sheetId="92" r:id="rId81"/>
    <sheet name="Quo No.033 SURETEX (19)" sheetId="91" r:id="rId82"/>
    <sheet name="Quo No.032 SURETEX (18)" sheetId="90" r:id="rId83"/>
    <sheet name="Quo No.031 SURETEX (17)" sheetId="89" r:id="rId84"/>
    <sheet name="Quo No.025 ISF INDUS (2)" sheetId="88" r:id="rId85"/>
    <sheet name="Quo No.024 AMPHENAL (2)" sheetId="87" r:id="rId86"/>
    <sheet name="Quo No.023 SURETEX (16)" sheetId="86" r:id="rId87"/>
    <sheet name="Quo No.022 SURETEX (16)" sheetId="85" r:id="rId88"/>
    <sheet name="Quo No.021 SURETEX (15)" sheetId="84" r:id="rId89"/>
    <sheet name="Quo No.020 SURETEX (14)" sheetId="83" r:id="rId90"/>
    <sheet name="Quo No.019 KMF (2)" sheetId="82" r:id="rId91"/>
    <sheet name="Quo No.018 SURETEX (13)" sheetId="81" r:id="rId92"/>
    <sheet name="Quo No.017 SURETEX (12)" sheetId="80" r:id="rId93"/>
    <sheet name="Quo No.016 SURETEX (11)" sheetId="79" r:id="rId94"/>
    <sheet name="Quo No.015 SURETEX (10)" sheetId="78" r:id="rId95"/>
    <sheet name="Quo No.014 RENUKA SUGAR (2)" sheetId="77" r:id="rId96"/>
    <sheet name="Quo No.013 RENUKA SUGAR" sheetId="71" r:id="rId97"/>
    <sheet name="Quo No.012 SURETEX (9)" sheetId="75" r:id="rId98"/>
    <sheet name="Quo No.011 SURETEX (8)" sheetId="73" r:id="rId99"/>
    <sheet name="Quo No.010 KMF" sheetId="74" r:id="rId100"/>
    <sheet name="Quo No.009 SURETEX (7)" sheetId="72" r:id="rId101"/>
    <sheet name="Quo No.008 ISF INDUS" sheetId="70" r:id="rId102"/>
    <sheet name="Quo No.007 SURETEX (6)" sheetId="69" r:id="rId103"/>
    <sheet name="Quo No.006 SURETEX (5)" sheetId="68" r:id="rId104"/>
    <sheet name="Quo No.005 SURETEX (4)" sheetId="66" r:id="rId105"/>
    <sheet name="Quo No.004 SURETEX (3)" sheetId="65" r:id="rId106"/>
    <sheet name="Quo No.003 AMPHENAL" sheetId="64" r:id="rId107"/>
    <sheet name="Quo No.002 SURETEX (2)" sheetId="62" r:id="rId108"/>
    <sheet name="Quo No.001 SURETEX" sheetId="63" r:id="rId10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75" l="1"/>
  <c r="F10" i="175"/>
  <c r="F8" i="175"/>
  <c r="F25" i="174"/>
  <c r="F8" i="173"/>
  <c r="F17" i="173" s="1"/>
  <c r="F11" i="172"/>
  <c r="F13" i="172"/>
  <c r="F15" i="172"/>
  <c r="F17" i="172"/>
  <c r="F19" i="172"/>
  <c r="F38" i="172"/>
  <c r="F43" i="172"/>
  <c r="F44" i="172"/>
  <c r="F58" i="149"/>
  <c r="F31" i="172"/>
  <c r="F30" i="172"/>
  <c r="F29" i="172"/>
  <c r="F28" i="172"/>
  <c r="F27" i="172"/>
  <c r="F26" i="172"/>
  <c r="F25" i="172"/>
  <c r="F24" i="172"/>
  <c r="F23" i="172"/>
  <c r="F22" i="172"/>
  <c r="F21" i="172"/>
  <c r="F17" i="175" l="1"/>
  <c r="F19" i="175" s="1"/>
  <c r="F26" i="174"/>
  <c r="F27" i="174"/>
  <c r="F19" i="173"/>
  <c r="F18" i="173"/>
  <c r="F20" i="173" s="1"/>
  <c r="F42" i="172"/>
  <c r="F41" i="172"/>
  <c r="F40" i="172"/>
  <c r="F37" i="172"/>
  <c r="F35" i="172"/>
  <c r="F34" i="172"/>
  <c r="F33" i="172"/>
  <c r="F32" i="172"/>
  <c r="F18" i="172"/>
  <c r="F16" i="172"/>
  <c r="F14" i="172"/>
  <c r="F12" i="172"/>
  <c r="F10" i="172"/>
  <c r="F8" i="171"/>
  <c r="F9" i="149"/>
  <c r="F13" i="149"/>
  <c r="F16" i="149"/>
  <c r="F18" i="149"/>
  <c r="F21" i="149"/>
  <c r="F39" i="149"/>
  <c r="F42" i="149"/>
  <c r="F45" i="149"/>
  <c r="F48" i="149"/>
  <c r="F51" i="149"/>
  <c r="F53" i="149"/>
  <c r="F57" i="149"/>
  <c r="F59" i="149"/>
  <c r="F61" i="149"/>
  <c r="F8" i="169"/>
  <c r="F10" i="169"/>
  <c r="F18" i="175" l="1"/>
  <c r="F20" i="175" s="1"/>
  <c r="F28" i="174"/>
  <c r="F64" i="149"/>
  <c r="F65" i="149" s="1"/>
  <c r="F46" i="172"/>
  <c r="F48" i="172" s="1"/>
  <c r="F20" i="171"/>
  <c r="F19" i="171"/>
  <c r="G12" i="170"/>
  <c r="G10" i="170"/>
  <c r="G8" i="170"/>
  <c r="F24" i="169"/>
  <c r="F66" i="149" l="1"/>
  <c r="F67" i="149" s="1"/>
  <c r="F21" i="171"/>
  <c r="F47" i="172"/>
  <c r="F49" i="172" s="1"/>
  <c r="F25" i="169"/>
  <c r="F26" i="169"/>
  <c r="G17" i="170"/>
  <c r="G18" i="170" s="1"/>
  <c r="G19" i="170" s="1"/>
  <c r="F8" i="168"/>
  <c r="F27" i="168" s="1"/>
  <c r="F8" i="167"/>
  <c r="F17" i="167" s="1"/>
  <c r="F19" i="167" s="1"/>
  <c r="F10" i="166"/>
  <c r="F9" i="166"/>
  <c r="F8" i="166"/>
  <c r="F24" i="164"/>
  <c r="F23" i="164"/>
  <c r="F22" i="164"/>
  <c r="F21" i="164"/>
  <c r="F10" i="164"/>
  <c r="F11" i="164"/>
  <c r="F12" i="164"/>
  <c r="F13" i="164"/>
  <c r="F14" i="164"/>
  <c r="F15" i="164"/>
  <c r="F16" i="164"/>
  <c r="F17" i="164"/>
  <c r="F18" i="164"/>
  <c r="F19" i="164"/>
  <c r="F20" i="164"/>
  <c r="F9" i="164"/>
  <c r="F8" i="164"/>
  <c r="F26" i="164" s="1"/>
  <c r="F27" i="169" l="1"/>
  <c r="F28" i="168"/>
  <c r="F30" i="168" s="1"/>
  <c r="F29" i="168"/>
  <c r="F18" i="167"/>
  <c r="F20" i="167" s="1"/>
  <c r="F17" i="166"/>
  <c r="F18" i="166" s="1"/>
  <c r="F27" i="164"/>
  <c r="F19" i="166" l="1"/>
  <c r="F20" i="166" s="1"/>
  <c r="F28" i="164"/>
  <c r="F29" i="164" s="1"/>
  <c r="F8" i="163" l="1"/>
  <c r="F18" i="163" s="1"/>
  <c r="F23" i="162"/>
  <c r="F20" i="163" l="1"/>
  <c r="F19" i="163"/>
  <c r="F21" i="163" s="1"/>
  <c r="F8" i="162"/>
  <c r="F11" i="162"/>
  <c r="F11" i="161"/>
  <c r="F19" i="162" l="1"/>
  <c r="F20" i="162" s="1"/>
  <c r="F9" i="161"/>
  <c r="F8" i="161"/>
  <c r="F18" i="160"/>
  <c r="F9" i="160"/>
  <c r="F10" i="160"/>
  <c r="F8" i="160"/>
  <c r="F11" i="159"/>
  <c r="F20" i="159"/>
  <c r="F8" i="159"/>
  <c r="F24" i="159"/>
  <c r="F17" i="159"/>
  <c r="F19" i="158"/>
  <c r="F14" i="158"/>
  <c r="F11" i="158"/>
  <c r="F8" i="158"/>
  <c r="F22" i="158" s="1"/>
  <c r="G14" i="157"/>
  <c r="G12" i="157"/>
  <c r="G10" i="157"/>
  <c r="G8" i="157"/>
  <c r="F10" i="156"/>
  <c r="F8" i="156"/>
  <c r="F8" i="155"/>
  <c r="F16" i="155" s="1"/>
  <c r="F44" i="141"/>
  <c r="F37" i="141"/>
  <c r="F21" i="162" l="1"/>
  <c r="F19" i="161"/>
  <c r="F20" i="161" s="1"/>
  <c r="F20" i="160"/>
  <c r="F26" i="159"/>
  <c r="F28" i="159" s="1"/>
  <c r="F23" i="158"/>
  <c r="F24" i="158" s="1"/>
  <c r="G17" i="157"/>
  <c r="G18" i="157" s="1"/>
  <c r="G19" i="157" s="1"/>
  <c r="F17" i="156"/>
  <c r="F18" i="156" s="1"/>
  <c r="F19" i="156"/>
  <c r="F18" i="155"/>
  <c r="F17" i="155"/>
  <c r="F19" i="155" s="1"/>
  <c r="F21" i="161" l="1"/>
  <c r="F22" i="161"/>
  <c r="F19" i="160"/>
  <c r="F21" i="160"/>
  <c r="F27" i="159"/>
  <c r="F29" i="159" s="1"/>
  <c r="F20" i="156"/>
  <c r="F8" i="154" l="1"/>
  <c r="F36" i="154" s="1"/>
  <c r="F38" i="154" l="1"/>
  <c r="F37" i="154"/>
  <c r="F39" i="154" s="1"/>
  <c r="F8" i="152"/>
  <c r="F20" i="152" l="1"/>
  <c r="F23" i="141"/>
  <c r="F21" i="141"/>
  <c r="F19" i="141"/>
  <c r="F17" i="141"/>
  <c r="F15" i="141"/>
  <c r="F13" i="141"/>
  <c r="F11" i="141"/>
  <c r="F12" i="151"/>
  <c r="F20" i="151" s="1"/>
  <c r="F10" i="151"/>
  <c r="F12" i="142"/>
  <c r="F34" i="141"/>
  <c r="F43" i="141"/>
  <c r="F42" i="141"/>
  <c r="F27" i="141"/>
  <c r="F45" i="141"/>
  <c r="F41" i="141"/>
  <c r="F40" i="141"/>
  <c r="F39" i="141"/>
  <c r="F36" i="141"/>
  <c r="F33" i="141"/>
  <c r="F32" i="141"/>
  <c r="F31" i="141"/>
  <c r="F29" i="141"/>
  <c r="F28" i="141"/>
  <c r="F26" i="141"/>
  <c r="F25" i="141"/>
  <c r="F24" i="141"/>
  <c r="F8" i="148"/>
  <c r="F18" i="148" s="1"/>
  <c r="F12" i="147"/>
  <c r="F11" i="147"/>
  <c r="F10" i="147"/>
  <c r="F9" i="147"/>
  <c r="F8" i="147"/>
  <c r="F8" i="146"/>
  <c r="F22" i="146" s="1"/>
  <c r="F21" i="152" l="1"/>
  <c r="F23" i="152" s="1"/>
  <c r="F22" i="152"/>
  <c r="F22" i="151"/>
  <c r="F21" i="151"/>
  <c r="F23" i="151" s="1"/>
  <c r="F19" i="148"/>
  <c r="F20" i="148"/>
  <c r="F18" i="147"/>
  <c r="F19" i="147"/>
  <c r="F20" i="147"/>
  <c r="F23" i="146"/>
  <c r="F24" i="146"/>
  <c r="F21" i="148" l="1"/>
  <c r="F21" i="147"/>
  <c r="F25" i="146"/>
  <c r="F9" i="145" l="1"/>
  <c r="F10" i="145"/>
  <c r="F11" i="145"/>
  <c r="F12" i="145"/>
  <c r="F13" i="145"/>
  <c r="F8" i="145"/>
  <c r="F8" i="144"/>
  <c r="F22" i="144" s="1"/>
  <c r="F9" i="143"/>
  <c r="F10" i="143"/>
  <c r="F11" i="143"/>
  <c r="F8" i="143"/>
  <c r="F21" i="143" s="1"/>
  <c r="F10" i="142"/>
  <c r="F18" i="145" l="1"/>
  <c r="F20" i="145" s="1"/>
  <c r="F23" i="144"/>
  <c r="F24" i="144"/>
  <c r="F25" i="144" s="1"/>
  <c r="F23" i="143"/>
  <c r="F22" i="143"/>
  <c r="F24" i="143" s="1"/>
  <c r="F20" i="142"/>
  <c r="F21" i="142" s="1"/>
  <c r="F19" i="145" l="1"/>
  <c r="F21" i="145"/>
  <c r="F22" i="142"/>
  <c r="F23" i="142" s="1"/>
  <c r="F22" i="141" l="1"/>
  <c r="F20" i="141"/>
  <c r="F18" i="141"/>
  <c r="F16" i="141"/>
  <c r="F14" i="141"/>
  <c r="F12" i="141"/>
  <c r="F10" i="141"/>
  <c r="F13" i="140"/>
  <c r="F8" i="140"/>
  <c r="F47" i="141" l="1"/>
  <c r="F48" i="141" s="1"/>
  <c r="F21" i="140"/>
  <c r="F23" i="140" s="1"/>
  <c r="F9" i="139"/>
  <c r="F8" i="139"/>
  <c r="F49" i="141" l="1"/>
  <c r="F50" i="141" s="1"/>
  <c r="F22" i="140"/>
  <c r="F24" i="140"/>
  <c r="F22" i="139"/>
  <c r="F23" i="139" s="1"/>
  <c r="F24" i="139" l="1"/>
  <c r="F25" i="139"/>
  <c r="F8" i="138" l="1"/>
  <c r="F20" i="137"/>
  <c r="F18" i="137"/>
  <c r="F15" i="137"/>
  <c r="F12" i="137"/>
  <c r="F8" i="137"/>
  <c r="F16" i="136"/>
  <c r="F9" i="136"/>
  <c r="F10" i="136"/>
  <c r="F11" i="136"/>
  <c r="F12" i="136"/>
  <c r="F13" i="136"/>
  <c r="F14" i="136"/>
  <c r="F15" i="136"/>
  <c r="F8" i="136"/>
  <c r="F9" i="135"/>
  <c r="F8" i="135"/>
  <c r="F10" i="134"/>
  <c r="F8" i="134"/>
  <c r="F15" i="133"/>
  <c r="F8" i="133"/>
  <c r="F28" i="132"/>
  <c r="F22" i="132"/>
  <c r="F18" i="132"/>
  <c r="F8" i="132"/>
  <c r="F12" i="132"/>
  <c r="G8" i="131"/>
  <c r="G17" i="131" s="1"/>
  <c r="F16" i="130"/>
  <c r="F12" i="130"/>
  <c r="F8" i="130"/>
  <c r="F9" i="129"/>
  <c r="F10" i="129"/>
  <c r="F11" i="129"/>
  <c r="F8" i="129"/>
  <c r="F18" i="129" s="1"/>
  <c r="F11" i="128"/>
  <c r="F10" i="128"/>
  <c r="F8" i="128"/>
  <c r="F8" i="127"/>
  <c r="F22" i="127" s="1"/>
  <c r="F22" i="138" l="1"/>
  <c r="F24" i="138" s="1"/>
  <c r="F22" i="137"/>
  <c r="F23" i="137" s="1"/>
  <c r="F18" i="136"/>
  <c r="F17" i="136"/>
  <c r="F19" i="136" s="1"/>
  <c r="F15" i="135"/>
  <c r="F16" i="135" s="1"/>
  <c r="F21" i="134"/>
  <c r="F22" i="134" s="1"/>
  <c r="F17" i="133"/>
  <c r="F16" i="133"/>
  <c r="F18" i="133" s="1"/>
  <c r="F46" i="132"/>
  <c r="F47" i="132" s="1"/>
  <c r="G19" i="131"/>
  <c r="G18" i="131"/>
  <c r="G20" i="131" s="1"/>
  <c r="F23" i="130"/>
  <c r="F24" i="130" s="1"/>
  <c r="F19" i="129"/>
  <c r="F20" i="129"/>
  <c r="F21" i="129" s="1"/>
  <c r="F18" i="128"/>
  <c r="F19" i="128" s="1"/>
  <c r="F24" i="127"/>
  <c r="F23" i="127"/>
  <c r="F25" i="127" s="1"/>
  <c r="F10" i="126"/>
  <c r="F9" i="126"/>
  <c r="F8" i="126"/>
  <c r="F13" i="125"/>
  <c r="F11" i="125"/>
  <c r="F8" i="125"/>
  <c r="F18" i="125" s="1"/>
  <c r="F9" i="124"/>
  <c r="F18" i="124" s="1"/>
  <c r="F10" i="123"/>
  <c r="F9" i="123"/>
  <c r="F8" i="123"/>
  <c r="F20" i="123" s="1"/>
  <c r="F9" i="122"/>
  <c r="F21" i="122" s="1"/>
  <c r="F8" i="121"/>
  <c r="F20" i="121" s="1"/>
  <c r="F8" i="120"/>
  <c r="F21" i="120" s="1"/>
  <c r="F14" i="119"/>
  <c r="F11" i="119"/>
  <c r="F23" i="138" l="1"/>
  <c r="F25" i="138"/>
  <c r="F24" i="137"/>
  <c r="F25" i="137"/>
  <c r="F17" i="135"/>
  <c r="F18" i="135"/>
  <c r="F23" i="134"/>
  <c r="F24" i="134" s="1"/>
  <c r="F48" i="132"/>
  <c r="F49" i="132" s="1"/>
  <c r="F25" i="130"/>
  <c r="F26" i="130"/>
  <c r="F20" i="128"/>
  <c r="F21" i="128"/>
  <c r="F20" i="126"/>
  <c r="F22" i="126" s="1"/>
  <c r="F19" i="125"/>
  <c r="F20" i="125" s="1"/>
  <c r="F20" i="124"/>
  <c r="F19" i="124"/>
  <c r="F22" i="123"/>
  <c r="F21" i="123"/>
  <c r="F23" i="123" s="1"/>
  <c r="F22" i="122"/>
  <c r="F23" i="122"/>
  <c r="F24" i="122" s="1"/>
  <c r="F22" i="121"/>
  <c r="F21" i="121"/>
  <c r="F23" i="121" s="1"/>
  <c r="F23" i="120"/>
  <c r="F22" i="120"/>
  <c r="F24" i="120" s="1"/>
  <c r="F8" i="119"/>
  <c r="F19" i="119" s="1"/>
  <c r="F17" i="118"/>
  <c r="F14" i="118"/>
  <c r="F8" i="118"/>
  <c r="F21" i="126" l="1"/>
  <c r="F23" i="126"/>
  <c r="F21" i="124"/>
  <c r="F20" i="119"/>
  <c r="F21" i="119" s="1"/>
  <c r="F21" i="118"/>
  <c r="F23" i="118" s="1"/>
  <c r="F20" i="117"/>
  <c r="F8" i="117"/>
  <c r="F26" i="117" s="1"/>
  <c r="F20" i="112"/>
  <c r="F22" i="118" l="1"/>
  <c r="F24" i="118" s="1"/>
  <c r="F27" i="117"/>
  <c r="F28" i="117"/>
  <c r="F8" i="116"/>
  <c r="F21" i="116" s="1"/>
  <c r="F10" i="116"/>
  <c r="F9" i="116"/>
  <c r="F11" i="116"/>
  <c r="F12" i="116"/>
  <c r="F29" i="117" l="1"/>
  <c r="F23" i="116"/>
  <c r="F22" i="116"/>
  <c r="F24" i="116" s="1"/>
  <c r="F16" i="115" l="1"/>
  <c r="F17" i="115"/>
  <c r="F13" i="115" l="1"/>
  <c r="F14" i="115"/>
  <c r="F12" i="115"/>
  <c r="F8" i="115"/>
  <c r="F21" i="115" l="1"/>
  <c r="F23" i="115" s="1"/>
  <c r="F17" i="114"/>
  <c r="F8" i="114"/>
  <c r="F25" i="114" s="1"/>
  <c r="F22" i="115" l="1"/>
  <c r="F24" i="115" s="1"/>
  <c r="F27" i="114"/>
  <c r="F26" i="114"/>
  <c r="F28" i="114" s="1"/>
  <c r="F20" i="113"/>
  <c r="F8" i="113"/>
  <c r="F19" i="113" s="1"/>
  <c r="F21" i="113" l="1"/>
  <c r="F8" i="112"/>
  <c r="F27" i="112" s="1"/>
  <c r="F29" i="112" l="1"/>
  <c r="F28" i="112"/>
  <c r="F30" i="112" s="1"/>
  <c r="F8" i="111"/>
  <c r="F19" i="111" s="1"/>
  <c r="F21" i="111" l="1"/>
  <c r="F20" i="111"/>
  <c r="F22" i="111" s="1"/>
  <c r="F8" i="110"/>
  <c r="F19" i="110" s="1"/>
  <c r="F21" i="110" l="1"/>
  <c r="F20" i="110"/>
  <c r="F22" i="110" s="1"/>
  <c r="F8" i="102"/>
  <c r="F9" i="109"/>
  <c r="F19" i="109" s="1"/>
  <c r="F21" i="109" l="1"/>
  <c r="F20" i="109"/>
  <c r="F8" i="108"/>
  <c r="F26" i="108" s="1"/>
  <c r="F22" i="109" l="1"/>
  <c r="F28" i="108"/>
  <c r="F27" i="108"/>
  <c r="F8" i="107"/>
  <c r="F20" i="107" s="1"/>
  <c r="F29" i="108" l="1"/>
  <c r="F21" i="107"/>
  <c r="F22" i="107"/>
  <c r="F11" i="106"/>
  <c r="F10" i="106"/>
  <c r="F23" i="107" l="1"/>
  <c r="F8" i="106"/>
  <c r="F18" i="106" s="1"/>
  <c r="F10" i="105"/>
  <c r="F11" i="105"/>
  <c r="F19" i="106" l="1"/>
  <c r="F20" i="106"/>
  <c r="F21" i="106" l="1"/>
  <c r="F8" i="105" l="1"/>
  <c r="F18" i="105" s="1"/>
  <c r="F20" i="105" l="1"/>
  <c r="F19" i="105"/>
  <c r="F9" i="104"/>
  <c r="F10" i="104"/>
  <c r="F11" i="104"/>
  <c r="F12" i="104"/>
  <c r="F13" i="104"/>
  <c r="F14" i="104"/>
  <c r="F15" i="104"/>
  <c r="F16" i="104"/>
  <c r="F17" i="104"/>
  <c r="F8" i="104"/>
  <c r="F21" i="105" l="1"/>
  <c r="F18" i="104"/>
  <c r="F19" i="104" s="1"/>
  <c r="F20" i="104"/>
  <c r="F10" i="103"/>
  <c r="F9" i="103"/>
  <c r="F8" i="103"/>
  <c r="F20" i="103" s="1"/>
  <c r="F21" i="104" l="1"/>
  <c r="F21" i="103"/>
  <c r="F22" i="103"/>
  <c r="F9" i="102"/>
  <c r="F20" i="102" s="1"/>
  <c r="F23" i="103" l="1"/>
  <c r="F22" i="102"/>
  <c r="F21" i="102"/>
  <c r="F23" i="102" s="1"/>
  <c r="F8" i="101"/>
  <c r="F19" i="101" s="1"/>
  <c r="F21" i="101" l="1"/>
  <c r="F20" i="101"/>
  <c r="F22" i="101" s="1"/>
  <c r="F9" i="100" l="1"/>
  <c r="F10" i="100"/>
  <c r="F11" i="100"/>
  <c r="F12" i="100"/>
  <c r="F13" i="100"/>
  <c r="F14" i="100"/>
  <c r="F15" i="100"/>
  <c r="F8" i="100"/>
  <c r="F21" i="100" s="1"/>
  <c r="F23" i="100" l="1"/>
  <c r="F22" i="100"/>
  <c r="F24" i="100" s="1"/>
  <c r="F8" i="99"/>
  <c r="F20" i="99" s="1"/>
  <c r="F22" i="99" l="1"/>
  <c r="F21" i="99"/>
  <c r="F23" i="99" s="1"/>
  <c r="F8" i="98"/>
  <c r="F20" i="98" s="1"/>
  <c r="F8" i="97"/>
  <c r="F20" i="97" s="1"/>
  <c r="F21" i="98" l="1"/>
  <c r="F22" i="98"/>
  <c r="F22" i="97"/>
  <c r="F21" i="97"/>
  <c r="F9" i="96"/>
  <c r="F10" i="96"/>
  <c r="F11" i="96"/>
  <c r="F12" i="96"/>
  <c r="F13" i="96"/>
  <c r="F14" i="96"/>
  <c r="F8" i="96"/>
  <c r="F21" i="96" s="1"/>
  <c r="F23" i="97" l="1"/>
  <c r="F23" i="98"/>
  <c r="F23" i="96"/>
  <c r="F22" i="96"/>
  <c r="F24" i="96" s="1"/>
  <c r="F8" i="95"/>
  <c r="F15" i="95" s="1"/>
  <c r="F10" i="94"/>
  <c r="F9" i="94"/>
  <c r="F8" i="94"/>
  <c r="F17" i="94" s="1"/>
  <c r="F17" i="95" l="1"/>
  <c r="F16" i="95"/>
  <c r="F18" i="95" s="1"/>
  <c r="F19" i="94"/>
  <c r="F9" i="93"/>
  <c r="F8" i="93"/>
  <c r="F18" i="94" l="1"/>
  <c r="F20" i="94" s="1"/>
  <c r="F16" i="93"/>
  <c r="F18" i="93"/>
  <c r="F17" i="93"/>
  <c r="F19" i="93" s="1"/>
  <c r="F8" i="92"/>
  <c r="F16" i="92" l="1"/>
  <c r="F18" i="92" s="1"/>
  <c r="F8" i="91"/>
  <c r="F14" i="91"/>
  <c r="F13" i="91"/>
  <c r="F12" i="91"/>
  <c r="F11" i="91"/>
  <c r="F10" i="91"/>
  <c r="F9" i="91"/>
  <c r="F22" i="91" l="1"/>
  <c r="F17" i="92"/>
  <c r="F19" i="92"/>
  <c r="F18" i="89"/>
  <c r="F10" i="89"/>
  <c r="F24" i="91" l="1"/>
  <c r="F23" i="91"/>
  <c r="F25" i="91" s="1"/>
  <c r="F8" i="90"/>
  <c r="F21" i="90" s="1"/>
  <c r="F21" i="89"/>
  <c r="F23" i="90" l="1"/>
  <c r="F22" i="90"/>
  <c r="F24" i="90" s="1"/>
  <c r="F23" i="89"/>
  <c r="F22" i="89"/>
  <c r="F24" i="89" s="1"/>
  <c r="F10" i="88"/>
  <c r="F9" i="88"/>
  <c r="F18" i="88"/>
  <c r="F19" i="88" l="1"/>
  <c r="F20" i="88"/>
  <c r="F11" i="87"/>
  <c r="F8" i="87"/>
  <c r="F21" i="88" l="1"/>
  <c r="F17" i="87"/>
  <c r="F19" i="87" s="1"/>
  <c r="F16" i="86"/>
  <c r="F8" i="86"/>
  <c r="F24" i="86" s="1"/>
  <c r="F18" i="87" l="1"/>
  <c r="F20" i="87" s="1"/>
  <c r="F26" i="86"/>
  <c r="F25" i="86"/>
  <c r="F27" i="86" s="1"/>
  <c r="F8" i="85" l="1"/>
  <c r="F21" i="85" s="1"/>
  <c r="F23" i="85" l="1"/>
  <c r="F22" i="85"/>
  <c r="F9" i="83"/>
  <c r="F16" i="84"/>
  <c r="F8" i="84"/>
  <c r="F24" i="84" s="1"/>
  <c r="F24" i="85" l="1"/>
  <c r="F25" i="84"/>
  <c r="F27" i="84" s="1"/>
  <c r="F26" i="84"/>
  <c r="F8" i="83"/>
  <c r="F21" i="83" s="1"/>
  <c r="F22" i="83" l="1"/>
  <c r="F23" i="83"/>
  <c r="F9" i="82"/>
  <c r="F18" i="82" s="1"/>
  <c r="F24" i="83" l="1"/>
  <c r="F20" i="82"/>
  <c r="F19" i="82"/>
  <c r="F21" i="82" s="1"/>
  <c r="F20" i="81"/>
  <c r="F22" i="81" l="1"/>
  <c r="F21" i="81"/>
  <c r="F23" i="81" s="1"/>
  <c r="F15" i="80"/>
  <c r="F8" i="80"/>
  <c r="F23" i="80" l="1"/>
  <c r="F25" i="80" s="1"/>
  <c r="F24" i="80"/>
  <c r="F10" i="79"/>
  <c r="F9" i="79"/>
  <c r="F8" i="79"/>
  <c r="F19" i="79" s="1"/>
  <c r="F26" i="80" l="1"/>
  <c r="F21" i="79"/>
  <c r="F20" i="79"/>
  <c r="F22" i="79" s="1"/>
  <c r="F9" i="78"/>
  <c r="F10" i="78"/>
  <c r="F11" i="78"/>
  <c r="F8" i="78"/>
  <c r="F19" i="78" s="1"/>
  <c r="F21" i="78" l="1"/>
  <c r="F20" i="78"/>
  <c r="F22" i="78" s="1"/>
  <c r="F10" i="77"/>
  <c r="F8" i="77"/>
  <c r="F16" i="77" s="1"/>
  <c r="F17" i="77" l="1"/>
  <c r="F18" i="77"/>
  <c r="F9" i="71"/>
  <c r="F10" i="71"/>
  <c r="F19" i="77" l="1"/>
  <c r="F8" i="75" l="1"/>
  <c r="F19" i="75" l="1"/>
  <c r="F20" i="75" l="1"/>
  <c r="F21" i="75"/>
  <c r="F9" i="74"/>
  <c r="F23" i="74" s="1"/>
  <c r="F22" i="75" l="1"/>
  <c r="F24" i="74"/>
  <c r="F25" i="74"/>
  <c r="F16" i="72"/>
  <c r="F14" i="72"/>
  <c r="F8" i="72"/>
  <c r="F11" i="73"/>
  <c r="F10" i="73"/>
  <c r="F9" i="73"/>
  <c r="F8" i="73"/>
  <c r="F19" i="73" l="1"/>
  <c r="F26" i="74"/>
  <c r="F21" i="73"/>
  <c r="F20" i="73"/>
  <c r="F22" i="65"/>
  <c r="F23" i="73" l="1"/>
  <c r="F8" i="71"/>
  <c r="F20" i="72" l="1"/>
  <c r="F21" i="72" s="1"/>
  <c r="F16" i="71"/>
  <c r="F18" i="71" s="1"/>
  <c r="F11" i="70"/>
  <c r="F10" i="70"/>
  <c r="F9" i="70"/>
  <c r="F8" i="69"/>
  <c r="F19" i="69" s="1"/>
  <c r="F18" i="70" l="1"/>
  <c r="F19" i="70" s="1"/>
  <c r="F22" i="72"/>
  <c r="F23" i="72" s="1"/>
  <c r="F17" i="71"/>
  <c r="F19" i="71" s="1"/>
  <c r="F21" i="69"/>
  <c r="F20" i="69"/>
  <c r="F22" i="69" s="1"/>
  <c r="F8" i="68"/>
  <c r="F19" i="68" s="1"/>
  <c r="F8" i="66"/>
  <c r="F17" i="66" s="1"/>
  <c r="F18" i="66" s="1"/>
  <c r="F20" i="70" l="1"/>
  <c r="F21" i="70" s="1"/>
  <c r="F21" i="68"/>
  <c r="F20" i="68"/>
  <c r="F22" i="68" s="1"/>
  <c r="F19" i="66"/>
  <c r="F20" i="66" s="1"/>
  <c r="F23" i="65"/>
  <c r="F24" i="65" l="1"/>
  <c r="F25" i="65"/>
  <c r="F26" i="64"/>
  <c r="F32" i="64"/>
  <c r="F19" i="64"/>
  <c r="F12" i="64"/>
  <c r="F8" i="64"/>
  <c r="F9" i="63"/>
  <c r="F8" i="63"/>
  <c r="F18" i="63" s="1"/>
  <c r="F46" i="64" l="1"/>
  <c r="F48" i="64" s="1"/>
  <c r="F20" i="63"/>
  <c r="F19" i="63"/>
  <c r="F21" i="63" s="1"/>
  <c r="F47" i="64" l="1"/>
  <c r="F49" i="64" s="1"/>
  <c r="F8" i="62" l="1"/>
  <c r="F18" i="62" s="1"/>
  <c r="F19" i="62" l="1"/>
  <c r="F20" i="62"/>
  <c r="F21" i="62" l="1"/>
</calcChain>
</file>

<file path=xl/sharedStrings.xml><?xml version="1.0" encoding="utf-8"?>
<sst xmlns="http://schemas.openxmlformats.org/spreadsheetml/2006/main" count="4518" uniqueCount="1138">
  <si>
    <r>
      <rPr>
        <sz val="24"/>
        <rFont val="Algerian"/>
        <family val="5"/>
      </rPr>
      <t xml:space="preserve">   MAM INDUSTRIES</t>
    </r>
    <r>
      <rPr>
        <sz val="26"/>
        <rFont val="Algerian"/>
        <family val="5"/>
      </rPr>
      <t xml:space="preserve"> </t>
    </r>
    <r>
      <rPr>
        <sz val="11"/>
        <rFont val="Calibri"/>
        <family val="2"/>
        <scheme val="minor"/>
      </rPr>
      <t xml:space="preserve">                                                                                                                                                                                                                                                                                                                                                                                              No.113,Kanakapura Road ,Yelachenahalli,                                                                                                                                                                                                                                                     Uttarahalli,Bangalore South Bangalore-560062                                                                                                                                                                                                                                                                       GSTIN No. 29CTCPM1851L1ZC                                                                                                                                                                                                                   mamindustries19@gmail.com                                                                                                                                                                                                 Phone No.6381163159</t>
    </r>
  </si>
  <si>
    <t>Suretex Prophylactics India Private Limited</t>
  </si>
  <si>
    <t>GSTIN:29AACCS9648F1ZW</t>
  </si>
  <si>
    <t>SL No</t>
  </si>
  <si>
    <t>Description of Goods</t>
  </si>
  <si>
    <t>QTY</t>
  </si>
  <si>
    <t>QUOTATION</t>
  </si>
  <si>
    <t xml:space="preserve">To,     </t>
  </si>
  <si>
    <t>Plot No.74-91,KIADB Indl Estate,                                                                                                                                                                                                                                                                                                                       Jigani Phase-2,Anekal Taluk,Bangalore-560105</t>
  </si>
  <si>
    <t xml:space="preserve">Ref: </t>
  </si>
  <si>
    <t>UOM</t>
  </si>
  <si>
    <t>Rate</t>
  </si>
  <si>
    <t>Amount</t>
  </si>
  <si>
    <t>Nos</t>
  </si>
  <si>
    <t xml:space="preserve">                                                                                                                      Sub Total</t>
  </si>
  <si>
    <t xml:space="preserve">                                                                                                                      SGST 9%</t>
  </si>
  <si>
    <t xml:space="preserve">                                                                                                                      CGST 9%</t>
  </si>
  <si>
    <t xml:space="preserve">                                                                                                                Grand Total</t>
  </si>
  <si>
    <t>TERMS:</t>
  </si>
  <si>
    <t>COMPANY BANK DETAILS</t>
  </si>
  <si>
    <r>
      <t xml:space="preserve">Delivery: </t>
    </r>
    <r>
      <rPr>
        <sz val="11"/>
        <color theme="1"/>
        <rFont val="Arial Narrow"/>
        <family val="2"/>
      </rPr>
      <t>Delivery after your PO date</t>
    </r>
  </si>
  <si>
    <t>BANK NAME:BANK OF INDIA</t>
  </si>
  <si>
    <r>
      <t>GST:</t>
    </r>
    <r>
      <rPr>
        <sz val="11"/>
        <color theme="1"/>
        <rFont val="Arial Narrow"/>
        <family val="2"/>
      </rPr>
      <t xml:space="preserve"> 18%</t>
    </r>
  </si>
  <si>
    <t>A/C No: 896120110000159</t>
  </si>
  <si>
    <t>Including transport</t>
  </si>
  <si>
    <t>BRANCH &amp; IFSC : BKID0008961</t>
  </si>
  <si>
    <t>For MAM Industries</t>
  </si>
  <si>
    <t xml:space="preserve">                                                                                                                                                                                                                                                                                                                                                                                                                                                          Muthu                                                                            </t>
  </si>
  <si>
    <t>Quotation No: 001/2026-27</t>
  </si>
  <si>
    <t>Date : 03.04.2026</t>
  </si>
  <si>
    <t>Supply of BRT Gripper Roller Shaft</t>
  </si>
  <si>
    <t>Ref: D.C No. 283/2025-26                                                                                                                                                                                                                                                                                                 Date: 19/02/2026</t>
  </si>
  <si>
    <t>Amount Chargeble in Rupees (in words) : Nine thousand four hundred and forty</t>
  </si>
  <si>
    <t>Quotation No: 002/2026-27</t>
  </si>
  <si>
    <t>ETP WORK</t>
  </si>
  <si>
    <t>Slury pump impular</t>
  </si>
  <si>
    <t>Slury pump gland</t>
  </si>
  <si>
    <t>Amount Chargeble in Rupees (in words) : Ten thousand three hundred and eighty four</t>
  </si>
  <si>
    <t>Date : 01.04.2026</t>
  </si>
  <si>
    <t>Size: SS 304 Ø15m*320mm length</t>
  </si>
  <si>
    <t>Quotation No: 003/2026-27</t>
  </si>
  <si>
    <t xml:space="preserve">Material </t>
  </si>
  <si>
    <t>Size: 1810*2125*450</t>
  </si>
  <si>
    <t>Frame work ( at your site)</t>
  </si>
  <si>
    <t>Material All SS 304</t>
  </si>
  <si>
    <t>Frame size: 7300*1070</t>
  </si>
  <si>
    <t>1) 40*40x2mm thick sq pipe</t>
  </si>
  <si>
    <t>2) Wheel fitting, drilling and  taping work</t>
  </si>
  <si>
    <t>4) Motor mounting</t>
  </si>
  <si>
    <t>Frame size: 5500*1070</t>
  </si>
  <si>
    <t>Supply of SS 304 UPS Cabinet</t>
  </si>
  <si>
    <t>SS 304,30x30X1.6 Square tube frame, 1.2mm thick sheet</t>
  </si>
  <si>
    <t>and front polycarbonate sheet for removable type door</t>
  </si>
  <si>
    <t>sheet cover, back side wall mounting</t>
  </si>
  <si>
    <t>Material</t>
  </si>
  <si>
    <t>Ø4" Elbow - 4 nos</t>
  </si>
  <si>
    <t>Ø4" Flange and 4" butterfly valve</t>
  </si>
  <si>
    <t>Nut,bolt and gasket and MS Angle and clamp for suppot</t>
  </si>
  <si>
    <t>Butterfly valve and flange fitting</t>
  </si>
  <si>
    <t>and blower fitting work</t>
  </si>
  <si>
    <t>Set</t>
  </si>
  <si>
    <t>AMPHENOL INTERCONNECT INDIA PVT LTD</t>
  </si>
  <si>
    <t>Plot No-61,Konics Elactronics City,Hosur Road, Bangalore-560100</t>
  </si>
  <si>
    <t>GSTIN: 29AACCA3419J1ZO</t>
  </si>
  <si>
    <t>SS 304 25*25*1.6mm thick sq tube with Ø10mm Rod</t>
  </si>
  <si>
    <t>Supply of Jig Storage Frame</t>
  </si>
  <si>
    <t>1) 40*40*2mm thick sq pipe</t>
  </si>
  <si>
    <t>3) Motor stand fabrication work ( material your scope)</t>
  </si>
  <si>
    <t xml:space="preserve"> </t>
  </si>
  <si>
    <t>Inlet SS 304 Pipe line work for blower</t>
  </si>
  <si>
    <t xml:space="preserve">Outlet SS 304 Pipe line work </t>
  </si>
  <si>
    <t>Motor stand fabrication work ( material your scope)</t>
  </si>
  <si>
    <t>SS 304, Ø4"X3.5mm thick pipe</t>
  </si>
  <si>
    <r>
      <t>SS 304, Ø2</t>
    </r>
    <r>
      <rPr>
        <sz val="10"/>
        <color rgb="FF000000"/>
        <rFont val="Arial Narrow"/>
        <family val="2"/>
      </rPr>
      <t>1/2</t>
    </r>
    <r>
      <rPr>
        <sz val="11"/>
        <color rgb="FF000000"/>
        <rFont val="Arial Narrow"/>
        <family val="2"/>
      </rPr>
      <t>"X3.5mm thick pipe</t>
    </r>
  </si>
  <si>
    <t>Size: 590 * 2440 *1420mm Height</t>
  </si>
  <si>
    <t>inside cable tray, 550x550mm two self ,two side SS 304</t>
  </si>
  <si>
    <t>Extending 21/2" pipe to 1" pipe line</t>
  </si>
  <si>
    <t>Amount Chargeble in Rupees (in words) : Three lakhs thirty thousand nine hundred and ninety</t>
  </si>
  <si>
    <t xml:space="preserve">Geo technical investigation to assess load bearing </t>
  </si>
  <si>
    <t xml:space="preserve">capacity of soil, near ETP. Scope of work shall include sampling </t>
  </si>
  <si>
    <t>of sub soil by drilling 150/100mm dia bore holes by Augers,</t>
  </si>
  <si>
    <t xml:space="preserve">standard penetration test,collecting disturbed and undisturbed </t>
  </si>
  <si>
    <t xml:space="preserve">soil samples and lab testing which include wet sieve </t>
  </si>
  <si>
    <t>analysis,standard proctor density test,assessment of</t>
  </si>
  <si>
    <t>Maximum dry density</t>
  </si>
  <si>
    <t>tanks</t>
  </si>
  <si>
    <t>tanks with foundations</t>
  </si>
  <si>
    <t>LS</t>
  </si>
  <si>
    <t>1) Submission of structural drawings for foundations for storage</t>
  </si>
  <si>
    <t xml:space="preserve">2) Submission of structural drawings for and shelter above the </t>
  </si>
  <si>
    <t>3) Submission of bill of quantity and specifications.</t>
  </si>
  <si>
    <t>Date : 09.04.2026</t>
  </si>
  <si>
    <t>Quotation No: 005/2026-27</t>
  </si>
  <si>
    <t>PI Chiller line leakage arrest work</t>
  </si>
  <si>
    <t>Ø2"X4mm thick pipe - 1 mtr</t>
  </si>
  <si>
    <t>Ø2" Flange with gasket - 2 nos</t>
  </si>
  <si>
    <t xml:space="preserve">Amount Chargeble in Rupees (in words) : Fourteen thousand seven hundred and fifty </t>
  </si>
  <si>
    <t>Quotation No: 006/2026-27</t>
  </si>
  <si>
    <t>For Utility work</t>
  </si>
  <si>
    <t>4" SS Butterfly valve</t>
  </si>
  <si>
    <t xml:space="preserve">Amount Chargeble in Rupees (in words) : Twenty two thousand four hundred and twenty </t>
  </si>
  <si>
    <t>Quotation No: 007/2026-27</t>
  </si>
  <si>
    <t xml:space="preserve">NTN Bearing </t>
  </si>
  <si>
    <t>2313 K NTN Make</t>
  </si>
  <si>
    <t xml:space="preserve">Amount Chargeble in Rupees (in words) : Forty thousand seven hundred and ten </t>
  </si>
  <si>
    <t>Quotation No: 008/2026-27</t>
  </si>
  <si>
    <t>ISF INDUSTRIES PVT LTD</t>
  </si>
  <si>
    <t>88 &amp; 90, Madavilakkam Village, Opp -Chennai Metro Water Plant, Nazarathpet, Chennai - 600123</t>
  </si>
  <si>
    <t>Kind Attn: VIJAYA ANANDHU E S</t>
  </si>
  <si>
    <t xml:space="preserve">Argon Cylinder </t>
  </si>
  <si>
    <t>Puff chemical</t>
  </si>
  <si>
    <t>Transport</t>
  </si>
  <si>
    <t>Day</t>
  </si>
  <si>
    <t>Chain Z/P 80mm Pitch</t>
  </si>
  <si>
    <t>Meter</t>
  </si>
  <si>
    <t>Cotter Pin Z/P M4 × 35mm</t>
  </si>
  <si>
    <t>PCS</t>
  </si>
  <si>
    <t>Polyamide 30mm × 10mm × 3000mm (PE Profile) Art. No. 1005184 (Chain Track)</t>
  </si>
  <si>
    <t>Quotation No: 009/2026-27</t>
  </si>
  <si>
    <t xml:space="preserve">                                                                                                                      Discount</t>
  </si>
  <si>
    <t>Amount Chargeble in Rupees (in words) : Ninety seven thousand three hundred and fifty only</t>
  </si>
  <si>
    <t>Quotation No: 004R/2026-27</t>
  </si>
  <si>
    <t>Date : 10.04.2026</t>
  </si>
  <si>
    <t>Kgs</t>
  </si>
  <si>
    <t>Tig welding work for Dip tank</t>
  </si>
  <si>
    <t>Water pressure pump with  pressure gauge</t>
  </si>
  <si>
    <t xml:space="preserve">Amount Chargeble in Rupees (in words) : Fourteen thousand two hundred and seventy eight </t>
  </si>
  <si>
    <t>PI Line Material Supply only</t>
  </si>
  <si>
    <t>Water pipe line work</t>
  </si>
  <si>
    <t>Gasket - 2 nos</t>
  </si>
  <si>
    <t>MS Flange  -2 nos</t>
  </si>
  <si>
    <t>8" CI Butterfly Valve - 1 no</t>
  </si>
  <si>
    <t>Fasteners - 1 set</t>
  </si>
  <si>
    <t>Installation work</t>
  </si>
  <si>
    <t>Cutting, welding and testing</t>
  </si>
  <si>
    <t>8" CI Butterfly Valve service work</t>
  </si>
  <si>
    <t>Valve removing and cleaning reassembly</t>
  </si>
  <si>
    <t xml:space="preserve">Amount Chargeble in Rupees (in words) : Thirty six thousand eight hundred and seventy five only </t>
  </si>
  <si>
    <t>Quotation No: 010/2026-27</t>
  </si>
  <si>
    <t>Date : 13.04.2026</t>
  </si>
  <si>
    <t>Capacity : 5KLPH</t>
  </si>
  <si>
    <t>Application : Milk-water</t>
  </si>
  <si>
    <t>MOC - SS 304</t>
  </si>
  <si>
    <t>Plate material: SS 316</t>
  </si>
  <si>
    <t>Plate thickness: 0.5mm</t>
  </si>
  <si>
    <t>Gasket material  EPDM</t>
  </si>
  <si>
    <t>PHE Type: TXI15M-30 SS 316L-0.5mm</t>
  </si>
  <si>
    <t>Hot water and milk side inlet and outlet</t>
  </si>
  <si>
    <t>Size: 50NB</t>
  </si>
  <si>
    <t>Support column with adjustable screw</t>
  </si>
  <si>
    <t>Milk inlet temperature - 4 to 6 degree centigrade</t>
  </si>
  <si>
    <t>Milk iout let temperature - 90 to 95 degree centigrade</t>
  </si>
  <si>
    <t>Design pressure: 8Bar</t>
  </si>
  <si>
    <t>Make: Thermax/Kelvin/Tetrapack/IDMC/Alfalaval</t>
  </si>
  <si>
    <t>No</t>
  </si>
  <si>
    <t>Milk PHE-5KLPH</t>
  </si>
  <si>
    <t>KARNATAKA CO-OPERATIVE MILK PRODUCER'S-FEDERATION LTD.</t>
  </si>
  <si>
    <t>Yelahanka, G.K.V.K. Post, Bengaluru-560065</t>
  </si>
  <si>
    <t xml:space="preserve">Amount Chargeble in Rupees (in words) : One lakh twenty one thousand five hundred and forty only </t>
  </si>
  <si>
    <t>Payment Terms: 100% Advance</t>
  </si>
  <si>
    <t>Quotation lead time : 10 to 12 weeks</t>
  </si>
  <si>
    <t>Installation and commissioning charges extra</t>
  </si>
  <si>
    <t>Freight Insurance on customer</t>
  </si>
  <si>
    <t>IFSC : BKID0008961</t>
  </si>
  <si>
    <t>BRANCH: City Engineering College Branch</t>
  </si>
  <si>
    <t xml:space="preserve">Sprocket 80mm Complete </t>
  </si>
  <si>
    <t>Ware house aliminium foil cutting work</t>
  </si>
  <si>
    <t>Machine transport</t>
  </si>
  <si>
    <t>Quotation No: 012/2026-27</t>
  </si>
  <si>
    <t>Date : 15.04.2026</t>
  </si>
  <si>
    <t>Power hakshaw cutting machine with accessories with</t>
  </si>
  <si>
    <t>Polycorbonate sheet safety guard including</t>
  </si>
  <si>
    <t>Amount Chargeble in Rupees (in words) : Fifty nine thousand only</t>
  </si>
  <si>
    <t xml:space="preserve">Operator 2 person </t>
  </si>
  <si>
    <t>lums</t>
  </si>
  <si>
    <t xml:space="preserve">                                                                                                                     Round of</t>
  </si>
  <si>
    <t xml:space="preserve">Amount Chargeble in Rupees (in words) : Twenty lakhs fifty seven thousand two hundred and thirty six only </t>
  </si>
  <si>
    <t>Quotation No: 011R/2026-27</t>
  </si>
  <si>
    <t>Date : 16.04.2026</t>
  </si>
  <si>
    <t>CPU Plant GX-42</t>
  </si>
  <si>
    <t>CPU Plant TXI22M</t>
  </si>
  <si>
    <t>CPU Plant M10 BFM</t>
  </si>
  <si>
    <t>Quotation No: 013/2026-27</t>
  </si>
  <si>
    <t>Date : 17.04.2026</t>
  </si>
  <si>
    <t>SHREE RENUKA SUGARS LIMITED</t>
  </si>
  <si>
    <t>Kind Attn: Mr. S S Kallimath</t>
  </si>
  <si>
    <t>Packing in wooden box @ extra</t>
  </si>
  <si>
    <t>Freight Insurance to your account to be arranged and borne by you</t>
  </si>
  <si>
    <t>Quotation valid date 20 days</t>
  </si>
  <si>
    <t>Amount Chargeble in Rupees (in words) : Fifty six thousand six hundred and forty</t>
  </si>
  <si>
    <t>Unit #1,Munoli. Tal: Saundatti, Dist : Belgaum</t>
  </si>
  <si>
    <t xml:space="preserve">NT 100X </t>
  </si>
  <si>
    <t>Energy Solution India Pvt Ltd, CEFF30 ISH-6/87PL</t>
  </si>
  <si>
    <t xml:space="preserve">Alfa Laval, Widegap 200S-FM (T20-SFM), Clean Earth </t>
  </si>
  <si>
    <t xml:space="preserve">Fermenter PHE, Model – Kelvion, Alfa Laval AK20 FMI </t>
  </si>
  <si>
    <t>Fermenter Wash, Weak Beer &amp; Hydro PHE, Model - M15B</t>
  </si>
  <si>
    <t>Unit #5 Havalga, Tq: Afzalpur, Dist: Kalaburgi,</t>
  </si>
  <si>
    <t>Kind Attn: Mr. Navanath Savant</t>
  </si>
  <si>
    <t>Quotation No: 014/2026-27</t>
  </si>
  <si>
    <t>Amount Chargeble in Rupees (in words) : Seven lakhs fifty four thousand five hundred and fifty one</t>
  </si>
  <si>
    <t>Quotation No: 015/2026-27</t>
  </si>
  <si>
    <t>Electricle Items</t>
  </si>
  <si>
    <t>Anchor Roma 3 Model PVC Box</t>
  </si>
  <si>
    <t>Anchor Roma 3 Model plate</t>
  </si>
  <si>
    <t>Anchor Roma 10A Socket</t>
  </si>
  <si>
    <t>Anchor Roma 10A 1Way Switch</t>
  </si>
  <si>
    <t xml:space="preserve">Amount Chargeble in Rupees (in words) : Four thousand nine hundred two and ninety paise </t>
  </si>
  <si>
    <t>Quotation No: 016/2026-27</t>
  </si>
  <si>
    <t>Date : 20.04.2026</t>
  </si>
  <si>
    <t>12 * 3 Feet Alluminum Board "Safety First" (Ware House)</t>
  </si>
  <si>
    <t>6 * 4 Feet Hazardous Sign Board (Writing Board)</t>
  </si>
  <si>
    <t>57" * 34.5" Safety Board Print &amp; Lamination (Writing)</t>
  </si>
  <si>
    <t xml:space="preserve">Amount Chargeble in Rupees (in words) : Eighteen thousand seven hundred and sixty two only </t>
  </si>
  <si>
    <t>Quotation No: 017/2026-27</t>
  </si>
  <si>
    <t>Manufacturing and supply of SS 304 Storage Rack</t>
  </si>
  <si>
    <t>Each rack have 18 nos</t>
  </si>
  <si>
    <t>Size: 450 D * 1150 W * 1110mm height</t>
  </si>
  <si>
    <t>Individual storage rack size 350 W * 160 H * 450 D</t>
  </si>
  <si>
    <t>Material SS 304,1.2mm thick sheet</t>
  </si>
  <si>
    <t>bottom adjustable nylon leg bush, complete matt finish</t>
  </si>
  <si>
    <t>Manufacturing and supply of SS 304 Storage rack</t>
  </si>
  <si>
    <t>Each rack have 8 nos</t>
  </si>
  <si>
    <t>Size: 450 W * 1525 L * 360mm height</t>
  </si>
  <si>
    <t xml:space="preserve">Amount Chargeble in Rupees (in words) : One lakh twelve thousand hundred only </t>
  </si>
  <si>
    <t>Warehouse Container Storage Rack</t>
  </si>
  <si>
    <t>and 40x20x1.6mm rectangular tube</t>
  </si>
  <si>
    <t xml:space="preserve">SS 304 NOTICE BOARD  </t>
  </si>
  <si>
    <t>Supply of SS 304 Notice Board</t>
  </si>
  <si>
    <t>SS 304,1.2mm thick bending sheet</t>
  </si>
  <si>
    <t>Size:2060x400 top cover sheet</t>
  </si>
  <si>
    <t>Size:1940x1280 board fixing sheet</t>
  </si>
  <si>
    <t xml:space="preserve">Amount Chargeble in Rupees (in words) : Twenty six thousand  five hundred fifty only </t>
  </si>
  <si>
    <t>Date : 21.04.2026</t>
  </si>
  <si>
    <t>Quotation No: 018/2026-27</t>
  </si>
  <si>
    <t>Installation commissioning of 5KLPH Capacity PHE</t>
  </si>
  <si>
    <t>Inter connecting steam, water and milk pipeline work</t>
  </si>
  <si>
    <t>Quotation No: 019/2026-27</t>
  </si>
  <si>
    <t>Date : 23.04.2026</t>
  </si>
  <si>
    <t xml:space="preserve">Amount Chargeble in Rupees (in words) : Ninety two thousand and forty only </t>
  </si>
  <si>
    <t>Date : 25.04.2026</t>
  </si>
  <si>
    <t>Butterfly valve 80 NB OR (4 inch)</t>
  </si>
  <si>
    <t>Butterfly Valve 3 inch (80MM)</t>
  </si>
  <si>
    <t>Size: 760X1900X2500mm Height</t>
  </si>
  <si>
    <t>ISA 50X50X5mm thick</t>
  </si>
  <si>
    <t>2mm thick sheet for self</t>
  </si>
  <si>
    <t>1.2mm thick sheet side cover</t>
  </si>
  <si>
    <t>Size: 760X2150X2500mm Height</t>
  </si>
  <si>
    <t>with mat finishing</t>
  </si>
  <si>
    <t>Quotation No: 021/2026-27</t>
  </si>
  <si>
    <t>Quotation No: 022/2026-27</t>
  </si>
  <si>
    <t>Date : 27.04.2026</t>
  </si>
  <si>
    <t>Chiller unit removing and re located work</t>
  </si>
  <si>
    <t>line and closing</t>
  </si>
  <si>
    <t>1) PI Storage area chiller unit removing and chiller</t>
  </si>
  <si>
    <t xml:space="preserve">2) PI ET area chiller fixing and new chiller line </t>
  </si>
  <si>
    <t>chiller unit</t>
  </si>
  <si>
    <t>4) Alluminum cladding -12 mtrs</t>
  </si>
  <si>
    <t>3) K Fex insulation 9mm thick-12 mtrs</t>
  </si>
  <si>
    <t>connection work from PI outside to PI ET area</t>
  </si>
  <si>
    <t>1) ISMC 75 Channel for chiller fixing stand -12 mtrs</t>
  </si>
  <si>
    <t>2) Ø1"NB Pipe for chiller line-12 mtrs</t>
  </si>
  <si>
    <t xml:space="preserve">Amount Chargeble in Rupees (in words) : Forty one thousand three hundred only </t>
  </si>
  <si>
    <t>Manufacturing,supply and installation SS 304 Rack</t>
  </si>
  <si>
    <t>including fasteners</t>
  </si>
  <si>
    <t xml:space="preserve">Amount Chargeble in Rupees (in words) : Twelve lakhs four thousand seven hundred and eighty only </t>
  </si>
  <si>
    <t xml:space="preserve">Amount Chargeble in Rupees (in words) : Twenty eight thousand nine hundred and ten only </t>
  </si>
  <si>
    <t>Quotation No: 020R/2026-27</t>
  </si>
  <si>
    <t>Quotation No: 023/2026-27</t>
  </si>
  <si>
    <t>Date : 28.04.2026</t>
  </si>
  <si>
    <t>Manufacturing,supply and installation MS Rack</t>
  </si>
  <si>
    <t>including fasteners with powder coating</t>
  </si>
  <si>
    <t xml:space="preserve">Amount Chargeble in Rupees (in words) : Six lakhs nineteen thousand five hundred only </t>
  </si>
  <si>
    <t>Centifugal dryer with basket service work</t>
  </si>
  <si>
    <t>outer shell and housing bearing replacement work</t>
  </si>
  <si>
    <t>1 side Ø8mm copper rod, support flat area 25X5mm thick,</t>
  </si>
  <si>
    <t>Copper welding and brazing and complete matt finish</t>
  </si>
  <si>
    <t>SS 304 Plating Jig Rework</t>
  </si>
  <si>
    <t>Jig frame 355X725mm, New copper flat for hook and</t>
  </si>
  <si>
    <t>Quotation No: 025/2026-27</t>
  </si>
  <si>
    <t>Date : 30.04.2026</t>
  </si>
  <si>
    <t xml:space="preserve">Amount Chargeble in Rupees (in words) : Twelve thousand three hundred and ninety </t>
  </si>
  <si>
    <t>Quotation No: 032/2026-27</t>
  </si>
  <si>
    <t>Date : 05.05.2026</t>
  </si>
  <si>
    <t>Manufacturing and supply of SS 304 Buffer tank for PI compounding</t>
  </si>
  <si>
    <t>Tank size: Ø410 ID X Ø510 OD X 560mm Height</t>
  </si>
  <si>
    <t>Material:</t>
  </si>
  <si>
    <t>1) SS 304 3mm thick inner tank</t>
  </si>
  <si>
    <t>2) SS 304 1.2mm thick cladding sheet with mirror finish</t>
  </si>
  <si>
    <t>3) SS 304 25mm pipe inlet water with cam lock</t>
  </si>
  <si>
    <t>4) SS 304 25mm pipe outlet water with cam lock</t>
  </si>
  <si>
    <t>5) Puff insulation material 50mm thick radius</t>
  </si>
  <si>
    <t xml:space="preserve">Amount Chargeble in Rupees (in words) : Eighty one thousand four hundred and twenty only </t>
  </si>
  <si>
    <t>Quotation No: 033/2026-27</t>
  </si>
  <si>
    <t>Date : 06.05.2026</t>
  </si>
  <si>
    <t>Quotation No: 031/2026-27</t>
  </si>
  <si>
    <t>NR Dip line soft water pipe line modification work for 1 line</t>
  </si>
  <si>
    <t>1) CPVC 'T' - 5 Nos</t>
  </si>
  <si>
    <t>2) CPVC Elbow - 6 Nos</t>
  </si>
  <si>
    <t>3) CPVC Pipe - 1 Mtr</t>
  </si>
  <si>
    <t>4) Union - 3 Nos</t>
  </si>
  <si>
    <t>5) Ball valve - 1 No</t>
  </si>
  <si>
    <t>6) 1/2" CPVC Pipe with fittings -5 Mtrs</t>
  </si>
  <si>
    <t>1" CPVC Pipe and fittings</t>
  </si>
  <si>
    <t>Labour work</t>
  </si>
  <si>
    <t>Line</t>
  </si>
  <si>
    <t>7) Clamp and fasteners</t>
  </si>
  <si>
    <t>Amount Chargeble in Rupees (in words) : Eight thousand twenty four only</t>
  </si>
  <si>
    <t>metm panel box</t>
  </si>
  <si>
    <t>METM machine partion work</t>
  </si>
  <si>
    <t>Manufacturing &amp; supply of panel box 320X550X350mm GI 1.6mm</t>
  </si>
  <si>
    <t>Notice board fixing frame-1940x1280mm (SS304, 20X40X1.2 mm)</t>
  </si>
  <si>
    <t>BRT Cutting shaft 154*10 dia M6*25mm</t>
  </si>
  <si>
    <t>Hydraulic press assembly for U clamp</t>
  </si>
  <si>
    <t xml:space="preserve">Rainwater drain MS Tank Manufacturing supply and fixing
 </t>
  </si>
  <si>
    <t xml:space="preserve">Amount Chargeble in Rupees (in words) : Two lakh twenty three thousand seven hundred and twenty eight only </t>
  </si>
  <si>
    <t>Quotation No: 034/2026-27</t>
  </si>
  <si>
    <t>Date : 07.05.2026</t>
  </si>
  <si>
    <t>Supply of RALSON  bicycle TUBE ( (molded) 7000X35c</t>
  </si>
  <si>
    <t xml:space="preserve">Amount Chargeble in Rupees (in words) : Four thousand seven hundred and twenty only </t>
  </si>
  <si>
    <t>Quotation No: 035/2026-27</t>
  </si>
  <si>
    <t>Temperature Sensors for Bule Star 60 TR chiller</t>
  </si>
  <si>
    <t>Sensors fixing and Chiller unit servicing</t>
  </si>
  <si>
    <t xml:space="preserve">Amount Chargeble in Rupees (in words) : Thirty four thousand one hundred and two only </t>
  </si>
  <si>
    <t>Amount Chargeble in Rupees (in words) : One lakh twenty thousand nine hundred and fifty only</t>
  </si>
  <si>
    <t>Quotation No: 024R/2026-27</t>
  </si>
  <si>
    <t>Solenoid Valve 40NB 24V NR Dustcollect</t>
  </si>
  <si>
    <t>Water meter 40mm thred type dashmesh (Kranti make)</t>
  </si>
  <si>
    <t>Gland roap 8mm</t>
  </si>
  <si>
    <t xml:space="preserve">SS 304 BRT Vibrator part feeder cover Box </t>
  </si>
  <si>
    <t>Size: 260*220*400mm Height</t>
  </si>
  <si>
    <t xml:space="preserve">SS 304 1.2mm thick sheet with 3mm thick acrylic sheet </t>
  </si>
  <si>
    <t>and installation work</t>
  </si>
  <si>
    <t xml:space="preserve">                                                                                                                      Discount </t>
  </si>
  <si>
    <t xml:space="preserve">Amount Chargeble in Rupees (in words) : Thirty seven thousand five hundred and eighty three </t>
  </si>
  <si>
    <t>Quotation No: 036R/2026-27</t>
  </si>
  <si>
    <t>Date : 08.05.2026</t>
  </si>
  <si>
    <t>Teflon coated blade 0.8x3mm</t>
  </si>
  <si>
    <t>Shrink Synthalium Rod (Imported)</t>
  </si>
  <si>
    <t>Corner block assembly</t>
  </si>
  <si>
    <t>Spring Tension Rod</t>
  </si>
  <si>
    <t>heater strip</t>
  </si>
  <si>
    <t>SEALING WIRE HOLDER FRONT &amp; REAR</t>
  </si>
  <si>
    <t>sealing arm spring</t>
  </si>
  <si>
    <t>Amount Chargeble in Rupees (in words) : Fifty nine thousand four hundred thirty eight and ninety six paise only</t>
  </si>
  <si>
    <t>Quotation No: 038R/2026-27</t>
  </si>
  <si>
    <t>Quotation No: 039/2026-27</t>
  </si>
  <si>
    <t xml:space="preserve">notice board </t>
  </si>
  <si>
    <t>Supply and fixing for Non drive end SS Sheet for</t>
  </si>
  <si>
    <t>Material SS 304, 2mm thick sheet</t>
  </si>
  <si>
    <t>Drying brushes guards modification work</t>
  </si>
  <si>
    <t xml:space="preserve"> 3 nos brush for one line</t>
  </si>
  <si>
    <t>Size: 460 * 800 - 4 nos</t>
  </si>
  <si>
    <t>Size: 460 * 1000 - 2 nos</t>
  </si>
  <si>
    <t>Amount Chargeble in Rupees (in words) : Fifty eight thousand one hundred and forty four only</t>
  </si>
  <si>
    <t>Amount Chargeble in Rupees (in words) : Twenty three thousand and ten only</t>
  </si>
  <si>
    <t>Quotation No: 040/2026-27</t>
  </si>
  <si>
    <t>Quotation No: 041/2026-27</t>
  </si>
  <si>
    <t xml:space="preserve">40 KL Latex tank cleaning work </t>
  </si>
  <si>
    <t>Amount Chargeble in Rupees (in words) : Eleven thousand eight hundred only</t>
  </si>
  <si>
    <r>
      <t xml:space="preserve">Delivery: </t>
    </r>
    <r>
      <rPr>
        <sz val="11"/>
        <color theme="1"/>
        <rFont val="Arial Narrow"/>
        <family val="2"/>
      </rPr>
      <t>Working after your PO date</t>
    </r>
  </si>
  <si>
    <t>4 person work</t>
  </si>
  <si>
    <t>BRT FOIL PULLING RUBBER ROLLER SHAFT</t>
  </si>
  <si>
    <t>BRT Cutter roller shaft (Top)</t>
  </si>
  <si>
    <t>BRT CUTTER SHAFT (BOTTOM)</t>
  </si>
  <si>
    <t>SS.Roller</t>
  </si>
  <si>
    <t>BRT roller cutter assembly, Top &amp; bottom shaft with all part</t>
  </si>
  <si>
    <t>BRT SMALL SPROCKET</t>
  </si>
  <si>
    <t>PI ET CPR machine new disk with assembly parts</t>
  </si>
  <si>
    <t>PI ET CPR machine disk modification charges</t>
  </si>
  <si>
    <t>Date : 09.05.2026</t>
  </si>
  <si>
    <t xml:space="preserve">Amount Chargeable in Rupees (in words) : Two lakh seventy nine thousand one hundred fifty four and ninety six paise </t>
  </si>
  <si>
    <t>Quotation No: 042R/2026-27</t>
  </si>
  <si>
    <t xml:space="preserve">Matterial </t>
  </si>
  <si>
    <t>SS 304 3mm thick sheet</t>
  </si>
  <si>
    <t>Quotation No: 043/2026-27</t>
  </si>
  <si>
    <t>SS 304, 60X40X1.6mm thick rec tube, 4mm thick sheet frame</t>
  </si>
  <si>
    <t>Motor- 0.37KW, Flange mount, 670-720rpm, 63mm*2*A =2 Nos</t>
  </si>
  <si>
    <t>Belt - from motor to brush A-49 &amp; Top Brush motor  to brush A-29/A-35 With Guards</t>
  </si>
  <si>
    <t>Quotation No: 044/2026-27</t>
  </si>
  <si>
    <t>Supply and Installation 20A Switch/Socket Modular Box</t>
  </si>
  <si>
    <t>Supply &amp; laying 3CX2.5SQM copper cable Polycab</t>
  </si>
  <si>
    <t>Supply &amp; Insulation of 25mm casing caping</t>
  </si>
  <si>
    <t xml:space="preserve">Amount Chargeable in Rupees (in words) : Sixty two thousand two hundred fifty six and eighty paise </t>
  </si>
  <si>
    <t>Slurry tank increase height 450mm stirrer with tank and leg</t>
  </si>
  <si>
    <t xml:space="preserve">modification work
</t>
  </si>
  <si>
    <t>PI WORK</t>
  </si>
  <si>
    <t>Quotation No: 045/2026-27</t>
  </si>
  <si>
    <t>Date : 11.05.2026</t>
  </si>
  <si>
    <t xml:space="preserve">Amount Chargeable in Rupees (in words) : One lakh eighty seven thousand six hundred and twenty </t>
  </si>
  <si>
    <t>Supplying flush tank of Parryware or equivalent approved make</t>
  </si>
  <si>
    <t>Providing and fixing brackets, clamps, and supports for flush tank mounting</t>
  </si>
  <si>
    <t>Installation of flush tank including alignment and leveling</t>
  </si>
  <si>
    <t>Supplying and fixing fittings including angle stop clock</t>
  </si>
  <si>
    <t>Providing and fixing water inlet connection (GI/CPVC/flexible pipe with fittings)</t>
  </si>
  <si>
    <t>Providing and fixing flush pipe from tank to WC with necessary fittings</t>
  </si>
  <si>
    <t>Checking, cleaning, and removing blockages in pipeline including cut opening the pipe, grouting the new pipe.</t>
  </si>
  <si>
    <t>Dismantling of damaged tiles and fixing new tiles. Maximum No. of tiles = 10</t>
  </si>
  <si>
    <t>Cement patchwork including chipping damaged floor and levelling.</t>
  </si>
  <si>
    <t>Disposal of waste and debris.</t>
  </si>
  <si>
    <t>L.S</t>
  </si>
  <si>
    <t>Amount Chargeable in Rupees (in words) : Ninety five thousand sixty and eighty paise</t>
  </si>
  <si>
    <t>Quotation for Canteen and NR Washroom Civil work</t>
  </si>
  <si>
    <t>Quotation No: 046/2026-27</t>
  </si>
  <si>
    <t>Date : 12.05.2026</t>
  </si>
  <si>
    <t>Supply of new PVC Door for wash room</t>
  </si>
  <si>
    <t>PVC Door size: 78" * 27" *30mm thick</t>
  </si>
  <si>
    <t>Fittings</t>
  </si>
  <si>
    <t>Old door removing and new door fixing charges - 3 nos</t>
  </si>
  <si>
    <t>Amount Chargeable in Rupees (in words) : Twenty four thousand one hundred and ninety</t>
  </si>
  <si>
    <t>NR Dipline - 11</t>
  </si>
  <si>
    <t>NR Dipline - 16 Chain removing and NR Dipline - 11</t>
  </si>
  <si>
    <t>chain fixing work</t>
  </si>
  <si>
    <t>Days</t>
  </si>
  <si>
    <t>Quotation No: 047/2026-27</t>
  </si>
  <si>
    <t>Date : 13.05.2026</t>
  </si>
  <si>
    <t>Amount Chargeable in Rupees (in words) : Fifty three thousand six hundred and ninety</t>
  </si>
  <si>
    <t>Chain guide angle leveling work (with laser level)</t>
  </si>
  <si>
    <t xml:space="preserve">NR Dipline - 11 and 16 Chain removing work </t>
  </si>
  <si>
    <t>Amount Chargeble in Rupees (in words) : Seventeen thousand seven hundred only</t>
  </si>
  <si>
    <t>Date : 14.05.2026</t>
  </si>
  <si>
    <t>Quotation No: 048/2026-27</t>
  </si>
  <si>
    <t>Drive side motor assembly SS 304 1+1= 2 nos</t>
  </si>
  <si>
    <t>Non drive side assembly unit SS 304 1+1= 2 nos</t>
  </si>
  <si>
    <t>Geared motor A type Pulley 80mm - 2 nos</t>
  </si>
  <si>
    <t>Beading brush shaft A type pulley 50mm -2 nos</t>
  </si>
  <si>
    <t>Contra geared motor fixing bracket assembly SS 304 - 2nos</t>
  </si>
  <si>
    <t>Contra belt fixing support bracket 50X10mm thick flat SS 304 - 6 nos</t>
  </si>
  <si>
    <t>Contra belt base flat 40X10 mm thick SS 304 - 2 nos</t>
  </si>
  <si>
    <t>A Type 6"pulleys for condra belt - 2+2= 4 nos</t>
  </si>
  <si>
    <t>Ø20X1100mm SS 304 shaft - 2 nos</t>
  </si>
  <si>
    <t>5X50X1.5mm SS 304 sq tube 1200mm -3 nos</t>
  </si>
  <si>
    <t>40X40X1.5mm SS 304 sq tube 800mm - 1no</t>
  </si>
  <si>
    <t>Bearings and SS 304 Fasteners</t>
  </si>
  <si>
    <r>
      <rPr>
        <b/>
        <sz val="11"/>
        <color rgb="FF000000"/>
        <rFont val="Arial"/>
        <family val="2"/>
      </rPr>
      <t>Note:</t>
    </r>
    <r>
      <rPr>
        <sz val="11"/>
        <color rgb="FF000000"/>
        <rFont val="Arial"/>
        <family val="2"/>
      </rPr>
      <t xml:space="preserve"> Beading brush and motor your Scope</t>
    </r>
  </si>
  <si>
    <r>
      <rPr>
        <b/>
        <sz val="11"/>
        <color rgb="FF000000"/>
        <rFont val="Arial"/>
        <family val="2"/>
      </rPr>
      <t>Work Deatails</t>
    </r>
    <r>
      <rPr>
        <sz val="11"/>
        <color rgb="FF000000"/>
        <rFont val="Arial"/>
        <family val="2"/>
      </rPr>
      <t>: Old beading and contra assembly removing and BB Chamber approx 500mm removing and modification work without shrap edges and new beading and contra beading 2 set assembly work,all as per discusion your guidelince.</t>
    </r>
  </si>
  <si>
    <t>Materials</t>
  </si>
  <si>
    <t>2 nos beading and contra unit assembly size- 900mm brush, 2 nos frame, 50*50*1.6mm thick sq tube, adjustable screw rod and assembly all SS 304, Frame removable type, Motor assembly all SS 304, Belt safety guard SS 304, Contra assembly support plate and guide plate, 40*10 mm thick flat, Beading brush and Motor your Scope. All as per your discussion.</t>
  </si>
  <si>
    <t>Old beading and contra assembly removing and new</t>
  </si>
  <si>
    <t>Amount Chargeble in Rupees (in words) : Two lakh ninety five thousand only</t>
  </si>
  <si>
    <t>Quotation No: 049/2026-27</t>
  </si>
  <si>
    <t>Quotation No: 050/2026-27</t>
  </si>
  <si>
    <t>BAMUL</t>
  </si>
  <si>
    <t>Bangalore -560029</t>
  </si>
  <si>
    <t>Kind Attn: General Manager (Purchase)</t>
  </si>
  <si>
    <t>CHANNEL PLATES WITH GASKET VT-20</t>
  </si>
  <si>
    <t>CHANNEL PLATE GASKET VT-20</t>
  </si>
  <si>
    <t>Amount Chargeable in Rupees (in words) : Twenty two thousand four hundred and twenty</t>
  </si>
  <si>
    <t>Validity: One month from the date of this offer and subject stock availability.</t>
  </si>
  <si>
    <t>Warranty:1 Year warranty</t>
  </si>
  <si>
    <t>Price</t>
  </si>
  <si>
    <t>Quotation No: 051/2026-27</t>
  </si>
  <si>
    <t>Drying Brush Large New,Shaft L-800, CL-345, TOD-160 -3 Nos</t>
  </si>
  <si>
    <t>Drying Brush Small New,Shaft L-700, CL-270, TOD-160 - 1 No</t>
  </si>
  <si>
    <t>Date : 15.05.2026</t>
  </si>
  <si>
    <t>Amount Chargeable in Rupees (in words) : One lakh fifty thousand seven hundred and forty five only</t>
  </si>
  <si>
    <t xml:space="preserve">Supply and installation Drying brush assembly set </t>
  </si>
  <si>
    <t>Quotation No: 052/2026-27</t>
  </si>
  <si>
    <t>MS Staircase for compounding area</t>
  </si>
  <si>
    <t>Size: 3480 * 2040mm height step width 750mm inside</t>
  </si>
  <si>
    <t>Step size 750 * 290mm</t>
  </si>
  <si>
    <t>Material all MS</t>
  </si>
  <si>
    <t>1) ISMC 125 for main support and vertical support</t>
  </si>
  <si>
    <t>2) 40X40X5mm angle for steps</t>
  </si>
  <si>
    <t>3) Ø50X1.6mm thick round pipe for legs</t>
  </si>
  <si>
    <t>4) Ø40X1.6mm thick round pipe for legs</t>
  </si>
  <si>
    <t>5) Ø25X1.6mm thick round pipe for support</t>
  </si>
  <si>
    <t>one coat yellow primer and one coat enamel paint</t>
  </si>
  <si>
    <t>Amount Chargeable in Rupees (in words) : One lakh twelve thousand six hundred and ninety</t>
  </si>
  <si>
    <t>Compressor air pipe line for aeration tank</t>
  </si>
  <si>
    <t xml:space="preserve">Material all MS </t>
  </si>
  <si>
    <t>1) Ø1"X3.3mm thick NB Pipe - 30 mtrs</t>
  </si>
  <si>
    <t>Amount Chargeable in Rupees (in words) : Thirty eight thousand three hundred and fifty</t>
  </si>
  <si>
    <t>Quotation No: 053/2026-27</t>
  </si>
  <si>
    <t>2) Elbow - 6 nos 'T' - 1 no, ball valve - 1 no</t>
  </si>
  <si>
    <t>3) Support ISMC 75 Channel and 40x40x5mm angle with pipe clamps</t>
  </si>
  <si>
    <t>Quotation No: 054/2026-27</t>
  </si>
  <si>
    <t>Manufactiring and supply of Hot Air Drying Station</t>
  </si>
  <si>
    <r>
      <rPr>
        <b/>
        <sz val="11"/>
        <color rgb="FF222222"/>
        <rFont val="Arial Narrow"/>
        <family val="2"/>
      </rPr>
      <t>Circulation Type</t>
    </r>
    <r>
      <rPr>
        <sz val="11"/>
        <color rgb="FF222222"/>
        <rFont val="Arial Narrow"/>
        <family val="2"/>
      </rPr>
      <t>: Reeirculation system for energy savings</t>
    </r>
  </si>
  <si>
    <r>
      <rPr>
        <b/>
        <sz val="11"/>
        <color rgb="FF222222"/>
        <rFont val="Arial Narrow"/>
        <family val="2"/>
      </rPr>
      <t>Insulation:</t>
    </r>
    <r>
      <rPr>
        <sz val="11"/>
        <color rgb="FF222222"/>
        <rFont val="Arial Narrow"/>
        <family val="2"/>
      </rPr>
      <t xml:space="preserve"> 25mm thick rock-wool with SS cladding sheet</t>
    </r>
  </si>
  <si>
    <r>
      <rPr>
        <b/>
        <sz val="11"/>
        <color rgb="FF222222"/>
        <rFont val="Arial Narrow"/>
        <family val="2"/>
      </rPr>
      <t>Circulation System</t>
    </r>
    <r>
      <rPr>
        <sz val="11"/>
        <color rgb="FF222222"/>
        <rFont val="Arial Narrow"/>
        <family val="2"/>
      </rPr>
      <t>: SS 304 Impeller with 0.5 HP Electric motor</t>
    </r>
  </si>
  <si>
    <r>
      <rPr>
        <b/>
        <sz val="11"/>
        <color theme="1"/>
        <rFont val="Arial Narrow"/>
        <family val="2"/>
      </rPr>
      <t>Maintenance</t>
    </r>
    <r>
      <rPr>
        <sz val="11"/>
        <color theme="1"/>
        <rFont val="Arial Narrow"/>
        <family val="2"/>
      </rPr>
      <t>: Electrical heaters removable from side for maintenace</t>
    </r>
  </si>
  <si>
    <r>
      <rPr>
        <b/>
        <sz val="12"/>
        <color theme="1"/>
        <rFont val="Arial Narrow"/>
        <family val="2"/>
      </rPr>
      <t>Panel:</t>
    </r>
    <r>
      <rPr>
        <sz val="12"/>
        <color theme="1"/>
        <rFont val="Arial Narrow"/>
        <family val="2"/>
      </rPr>
      <t xml:space="preserve"> Operator panel with manual control for hot air system</t>
    </r>
  </si>
  <si>
    <r>
      <rPr>
        <b/>
        <sz val="12"/>
        <color rgb="FF000000"/>
        <rFont val="Arial Narrow"/>
        <family val="2"/>
      </rPr>
      <t>Temperature</t>
    </r>
    <r>
      <rPr>
        <sz val="12"/>
        <color rgb="FF000000"/>
        <rFont val="Arial Narrow"/>
        <family val="2"/>
      </rPr>
      <t>: Automatic ON/OFF control of electric heater at set temperature</t>
    </r>
  </si>
  <si>
    <r>
      <rPr>
        <b/>
        <sz val="12"/>
        <color rgb="FF000000"/>
        <rFont val="Arial Narrow"/>
        <family val="2"/>
      </rPr>
      <t>Drain Valve:</t>
    </r>
    <r>
      <rPr>
        <sz val="12"/>
        <color rgb="FF000000"/>
        <rFont val="Arial Narrow"/>
        <family val="2"/>
      </rPr>
      <t xml:space="preserve"> 1" manual drain valve</t>
    </r>
  </si>
  <si>
    <r>
      <rPr>
        <b/>
        <sz val="11"/>
        <color theme="1"/>
        <rFont val="Arial Narrow"/>
        <family val="2"/>
      </rPr>
      <t>Heater:</t>
    </r>
    <r>
      <rPr>
        <sz val="11"/>
        <color theme="1"/>
        <rFont val="Arial Narrow"/>
        <family val="2"/>
      </rPr>
      <t xml:space="preserve"> Electrical heater - 12 kw</t>
    </r>
  </si>
  <si>
    <r>
      <rPr>
        <b/>
        <sz val="11"/>
        <color theme="1"/>
        <rFont val="Arial Narrow"/>
        <family val="2"/>
      </rPr>
      <t>Tank MOC:</t>
    </r>
    <r>
      <rPr>
        <sz val="11"/>
        <color theme="1"/>
        <rFont val="Arial Narrow"/>
        <family val="2"/>
      </rPr>
      <t xml:space="preserve"> 3mm SS 304 Sheet</t>
    </r>
  </si>
  <si>
    <t>Date : 18.05.2026</t>
  </si>
  <si>
    <t>Quotation No: 055/2026-27</t>
  </si>
  <si>
    <t xml:space="preserve">                                                                                                                      IGST 18%</t>
  </si>
  <si>
    <t>Amount Chargeable in Rupees (in words) : Twelve thousand three hundred and ninety</t>
  </si>
  <si>
    <t>EQUINOX SOLUTIONS LIMITED</t>
  </si>
  <si>
    <t>3rd Floor, 41,Nobles Building,Ashram Road, Ahmedabad, Gujarat - 380009</t>
  </si>
  <si>
    <t>GSTIN: 24AAACK6136C1Z1</t>
  </si>
  <si>
    <t>As per your discussion</t>
  </si>
  <si>
    <t>100% payment</t>
  </si>
  <si>
    <t>SS Table modification work with PU Wheel</t>
  </si>
  <si>
    <t>Quotation No: 056/2026-27</t>
  </si>
  <si>
    <r>
      <t>Tank size</t>
    </r>
    <r>
      <rPr>
        <b/>
        <sz val="11"/>
        <color theme="1"/>
        <rFont val="Arial Narrow"/>
        <family val="2"/>
      </rPr>
      <t>:</t>
    </r>
    <r>
      <rPr>
        <sz val="11"/>
        <color theme="1"/>
        <rFont val="Arial Narrow"/>
        <family val="2"/>
      </rPr>
      <t xml:space="preserve"> Ø1900 * 4000  Horizontal Tank</t>
    </r>
  </si>
  <si>
    <t>a) Shell and dish 6mm thick</t>
  </si>
  <si>
    <t>c) 80*80*5mm sq pipe for base leg support</t>
  </si>
  <si>
    <t>d) One manhole with lid Ø500mm</t>
  </si>
  <si>
    <t>f) Inside and out side complete matt finish</t>
  </si>
  <si>
    <t>Pipe line work all SS 304</t>
  </si>
  <si>
    <t>a) Ø2" NB Pipe * 3.9mm thick  - 210 mtrs</t>
  </si>
  <si>
    <t>b) Elbow - 10 Nos</t>
  </si>
  <si>
    <t>d) Nipple - 4 Nos</t>
  </si>
  <si>
    <t>e) Ball valve - 3 Nos</t>
  </si>
  <si>
    <t>Supply and installation work</t>
  </si>
  <si>
    <t>Manufacturing and supply of SS 304 TANK 10 KL</t>
  </si>
  <si>
    <t>e) Inlet -2 nos, outlet -2 nos, drain -1 no, air vent - 1no</t>
  </si>
  <si>
    <t>c) Collar - 4 Nos</t>
  </si>
  <si>
    <r>
      <t>Payment: 6</t>
    </r>
    <r>
      <rPr>
        <sz val="11"/>
        <color theme="1"/>
        <rFont val="Arial Narrow"/>
        <family val="2"/>
      </rPr>
      <t>0% advance, remaining 40%  completion of work</t>
    </r>
  </si>
  <si>
    <t>Transport your scope</t>
  </si>
  <si>
    <t>Amount Chargeable in Rupees (in words) : Sixteen lakhs thirty one thousand nine hundred and forty</t>
  </si>
  <si>
    <t>THERMEX INDIA</t>
  </si>
  <si>
    <t>No.1,1st Main,Nanjappa Layout,J.C Industrial Area,
Yelchenahalli,Bangalore-560062</t>
  </si>
  <si>
    <t>GSTIN:29AAKFT2934L1ZL</t>
  </si>
  <si>
    <t>b) 140 *140 * 6mm thick sq pipe for leg with10mm thick base plate</t>
  </si>
  <si>
    <t>Quotation No: 057/2026-27</t>
  </si>
  <si>
    <t>1) Ø 3" Flange - 3 Nos</t>
  </si>
  <si>
    <t>2) Ø 3" Hose Nipple - 3 Nos</t>
  </si>
  <si>
    <t>Pipe line Welding and fixing work</t>
  </si>
  <si>
    <t>radial blower fixing work</t>
  </si>
  <si>
    <t>Line-9 Track chain waving correction work</t>
  </si>
  <si>
    <t>METM Mc shifting and un wanted air pipe line removal</t>
  </si>
  <si>
    <t>Radial fan fixing work in Line -5</t>
  </si>
  <si>
    <t>Busting machine door handle</t>
  </si>
  <si>
    <t>Amount Chargeable in Rupees (in words) : One lakh six thousand five hundred eighteen and sixty paise</t>
  </si>
  <si>
    <t>Supply and fixing of MS flange 3'' Nos hose nipple 3nos</t>
  </si>
  <si>
    <t>Quotation No: 058/2026-27</t>
  </si>
  <si>
    <t>NR Dipline - 11 Chain guide angle leveling work (with laser)</t>
  </si>
  <si>
    <t>NR Dipline - 11 and 16 Chain removing work</t>
  </si>
  <si>
    <t>NR Dipline - 16 Chain removing and NR Dipline - 11 chain fix</t>
  </si>
  <si>
    <t>NR dip line Pipe line Modification work &amp; flow meter install</t>
  </si>
  <si>
    <t>Labour Charges</t>
  </si>
  <si>
    <t>Amount Chargeable in Rupees (in words) : Sixty one thousand seven hundred and fourteen</t>
  </si>
  <si>
    <r>
      <rPr>
        <b/>
        <sz val="11"/>
        <color theme="1"/>
        <rFont val="Arial Narrow"/>
        <family val="2"/>
      </rPr>
      <t>Tank size:</t>
    </r>
    <r>
      <rPr>
        <sz val="11"/>
        <color theme="1"/>
        <rFont val="Arial Narrow"/>
        <family val="2"/>
      </rPr>
      <t xml:space="preserve"> 900 L * 650 W * 950 H (All Inside size)</t>
    </r>
  </si>
  <si>
    <t>Size: 700 * 2270 *1565mm Height</t>
  </si>
  <si>
    <t>inside cable tray, 650x650mm two self all side SS 304</t>
  </si>
  <si>
    <t>sheet cover</t>
  </si>
  <si>
    <t>Manufacturing and supply of SS 304 UPS Cabinet</t>
  </si>
  <si>
    <t>Amount Chargeable in Rupees (in words) : Five lakhs sixty nine thousand nine hundred and forty</t>
  </si>
  <si>
    <t>Quotation No: 059/2026-27</t>
  </si>
  <si>
    <t>Manufacturing and supply of SS 304 Rectifier Cabinet</t>
  </si>
  <si>
    <t>and front polycarbonate sheet for removable type door inside</t>
  </si>
  <si>
    <t>cable tray, 650x650mm two self all side SS 304 sheet cover</t>
  </si>
  <si>
    <t>Quotation No: 060/2026-27</t>
  </si>
  <si>
    <t>Perforated sheet basket</t>
  </si>
  <si>
    <t>Size: Ø200 * 160mm height (total 530mm height)</t>
  </si>
  <si>
    <t>Material 316</t>
  </si>
  <si>
    <t>1) 0.8mm thick Ø1mm hole perforated sheet</t>
  </si>
  <si>
    <t>Size: 380 * 380</t>
  </si>
  <si>
    <t>MS Hanging dummy plate with copper hook</t>
  </si>
  <si>
    <t>SS 304 Hanging dummy plate with copper hook</t>
  </si>
  <si>
    <t>2) SS 304, 25 * 3mm flat, Ø8mm rod handle</t>
  </si>
  <si>
    <t>Size: 300 * 600</t>
  </si>
  <si>
    <t>Amount Chargeable in Rupees (in words) : Thirty thousand four hundred and forty four</t>
  </si>
  <si>
    <t>Quotation No: 061/2026-27</t>
  </si>
  <si>
    <t>SS 304 Square Nylon Bullet Adjustable</t>
  </si>
  <si>
    <t>Size: 1550X675</t>
  </si>
  <si>
    <t>SS 304 L Angle frame made out of 40X40X5mm</t>
  </si>
  <si>
    <t>break with Locking Nut and bolts 7 sets. Includes cutting old wheel</t>
  </si>
  <si>
    <t>welding, providing new ss 5mm plate for wheel mounting</t>
  </si>
  <si>
    <t>Fittment of 6" PU wheels in trolley two with break two without</t>
  </si>
  <si>
    <t>Supply of 3 sets 6" wheels with nut bolts without fittment</t>
  </si>
  <si>
    <t>Amount Chargeable in Rupees (in words) : Thirty three thousand seven hundred and forty eight</t>
  </si>
  <si>
    <t>Date : 19.05.2026</t>
  </si>
  <si>
    <t>Size: 100 * 114 * 4mm thick</t>
  </si>
  <si>
    <t>Supply of SS 304 Brocket with nylon wheel</t>
  </si>
  <si>
    <t>wheel size: Ø85 * 64mm</t>
  </si>
  <si>
    <t>Quotation No: 062/2026-27</t>
  </si>
  <si>
    <t>Date : 26.05.2026</t>
  </si>
  <si>
    <t>Size: 560 * 2000 * 750mm height</t>
  </si>
  <si>
    <t>Material MS 1.2mm thick sheet with 30X30X1.6mm thick sq tube</t>
  </si>
  <si>
    <t xml:space="preserve">Amount Chargeable in Rupees (in words) : Forty thousand seven hundred and ten </t>
  </si>
  <si>
    <t>Manufacturing and supply of MS Office Table with top plywood sheet</t>
  </si>
  <si>
    <t>adjustable leg bush with powder coating</t>
  </si>
  <si>
    <t>In table have 3 drawer on right side in left side have</t>
  </si>
  <si>
    <t>Cladding removing puff insulation removing, cooling coil</t>
  </si>
  <si>
    <t>leakage correction and 5 kg holding pressure checking,</t>
  </si>
  <si>
    <t>'PU' Foam insulation and cladding, complete matt finish</t>
  </si>
  <si>
    <t>Dip tank cooling coil welding leakage correction work</t>
  </si>
  <si>
    <r>
      <rPr>
        <b/>
        <sz val="11"/>
        <color rgb="FF222222"/>
        <rFont val="Arial Narrow"/>
        <family val="2"/>
      </rPr>
      <t>Note:</t>
    </r>
    <r>
      <rPr>
        <sz val="11"/>
        <color rgb="FF222222"/>
        <rFont val="Arial Narrow"/>
        <family val="2"/>
      </rPr>
      <t xml:space="preserve"> Work will be done at your site</t>
    </r>
  </si>
  <si>
    <t>NR DIP TANK</t>
  </si>
  <si>
    <t>Quotation No: 063/2026-27</t>
  </si>
  <si>
    <t xml:space="preserve">Amount Chargeable in Rupees (in words) : One lakh eighty thousand eight hundred and thirty five </t>
  </si>
  <si>
    <t>Quotation No: 064/2026-27</t>
  </si>
  <si>
    <t>Date : 27.05.2026</t>
  </si>
  <si>
    <t>Spiral Aluminium coupling(25*30*8mm)</t>
  </si>
  <si>
    <t>Check weigher drive belt (PU)</t>
  </si>
  <si>
    <t>Flow wrao Exit Brush drive belt(PU)</t>
  </si>
  <si>
    <t xml:space="preserve">Amount Chargeable in Rupees (in words) : Thirteen thousand three hundred and thirty four </t>
  </si>
  <si>
    <t>Quotation No: 065/2026-27</t>
  </si>
  <si>
    <t xml:space="preserve">Amount Chargeble in Rupees (in words) : One lakh thirteen thousand two hundred and eighty  </t>
  </si>
  <si>
    <t xml:space="preserve">Complete PHE: TXI15M - 25 Plates </t>
  </si>
  <si>
    <t>(SS 304 Frame SS 316 Plates and EPDM Gaskets)</t>
  </si>
  <si>
    <r>
      <rPr>
        <sz val="24"/>
        <rFont val="Algerian"/>
        <family val="5"/>
      </rPr>
      <t xml:space="preserve">   MAM INDUSTRIES</t>
    </r>
    <r>
      <rPr>
        <sz val="26"/>
        <rFont val="Algerian"/>
        <family val="5"/>
      </rPr>
      <t xml:space="preserve"> </t>
    </r>
    <r>
      <rPr>
        <sz val="11"/>
        <rFont val="Calibri"/>
        <family val="2"/>
        <scheme val="minor"/>
      </rPr>
      <t xml:space="preserve">                                                                                                                                                                                                                                                                                                                                                                                              </t>
    </r>
    <r>
      <rPr>
        <sz val="12"/>
        <rFont val="Calibri"/>
        <family val="2"/>
        <scheme val="minor"/>
      </rPr>
      <t>No.113,Kanakapura Road ,Yelachenahalli,                                                                                                                                                                                                                                                     Uttarahalli,Bangalore South Bangalore-560062                                                                                                                                                                                                                                                                       GSTIN No. 29CTCPM1851L1ZC                                                                                                                                                                                                                   mamindustries19@gmail.com                                                                                                                                                                                                 Phone No.6381163159</t>
    </r>
  </si>
  <si>
    <t>Quotation No: 037R/2026-27</t>
  </si>
  <si>
    <t>4" X 1" PU Wheels Pin type M12 Red wheel is</t>
  </si>
  <si>
    <t>Size: 1570X710X75mm Leg height</t>
  </si>
  <si>
    <t>Quotation No: 066/2026-27</t>
  </si>
  <si>
    <t>SS304, 40X40X1.6mm square tube and top 25X25X3mm thick L Angle</t>
  </si>
  <si>
    <t>2 wheel plain and 2 wheel brake</t>
  </si>
  <si>
    <t xml:space="preserve">6" X 2" PU Wheels type 2 rotating with lock, 2 fixed </t>
  </si>
  <si>
    <t xml:space="preserve">rotating 2 with brake </t>
  </si>
  <si>
    <t>Amount Chargeable in Rupees (in words) : Fifty eight thousand two hundred and ninety two</t>
  </si>
  <si>
    <t>Quotation No: 067/2026-27</t>
  </si>
  <si>
    <t>Date : 28.05.2026</t>
  </si>
  <si>
    <t>Powder dispenser with powder flush unit</t>
  </si>
  <si>
    <t>Conveyar belt BRT 192cm lenth, 25cm width</t>
  </si>
  <si>
    <t>DC 12V Solenoid valve 1/8" 2way normally closed direct-pneu</t>
  </si>
  <si>
    <t xml:space="preserve">Amount Chargeable in Rupees (in words) : Forty five thousand seven hundred and twenty five only </t>
  </si>
  <si>
    <t>Quotation No: 068/2026-27</t>
  </si>
  <si>
    <t>Amount Chargeable in Rupees (in words) : Two thousand one hundred and twenty four</t>
  </si>
  <si>
    <t>Manufacturing and supply SS 304 Cupboard</t>
  </si>
  <si>
    <t>with three self and matt finish</t>
  </si>
  <si>
    <t>Material all SS 304, 1.2mm thick sheet ( 18 gauge )</t>
  </si>
  <si>
    <t>Size: 460W * 1220L * 1830mm Height</t>
  </si>
  <si>
    <t>V L ENGINEERING</t>
  </si>
  <si>
    <t>Bangalore</t>
  </si>
  <si>
    <t>Quotation No: 069/2026-27</t>
  </si>
  <si>
    <t>Amount Chargeable in Rupees (in words) : Forty three thousand and seventy</t>
  </si>
  <si>
    <t>Old door removing and new door fixing charges - 2 nos</t>
  </si>
  <si>
    <t>Quotation No: 070/2026-27</t>
  </si>
  <si>
    <t>Date : 29.05.2026</t>
  </si>
  <si>
    <t>Amount Chargeable in Rupees (in words) : Twelve thousand nine hundred and eighty</t>
  </si>
  <si>
    <t>Warehouse wash room door work</t>
  </si>
  <si>
    <t>4.6 SQ Ring T Lugs PO Mat</t>
  </si>
  <si>
    <t>2.5 Pin Terminals</t>
  </si>
  <si>
    <t>2.5 SQ Fork Lugs</t>
  </si>
  <si>
    <t>10 Pin Terminals</t>
  </si>
  <si>
    <t>Amount Chargeable in Rupees (in words) : Five thousand one hundred eighty seven and twenty eight paise</t>
  </si>
  <si>
    <t>Quotation No: 071/2026-27</t>
  </si>
  <si>
    <t xml:space="preserve">Amount Chargeble in Rupees (in words) : Twenty nine thousand five hundred only </t>
  </si>
  <si>
    <t>Size: 1300 * 290 * 175mm height</t>
  </si>
  <si>
    <t>Material GI Sheet 2mm thick</t>
  </si>
  <si>
    <t>Size: 1300 * 195 * 225mm height</t>
  </si>
  <si>
    <t>Material MS Perforated Sheet 2mm thick</t>
  </si>
  <si>
    <t>Finishing All powder coating</t>
  </si>
  <si>
    <t>Amount Chargeable in Rupees (in words) : Two lakhs thirty thousand one hundred only</t>
  </si>
  <si>
    <t>Date : 30.05.2026</t>
  </si>
  <si>
    <t>Manufacturing and supply of Belt Guard</t>
  </si>
  <si>
    <t>Manufacturing and supply of Motor Guard</t>
  </si>
  <si>
    <t>Size: 85 0 * 220 * 380 mm height</t>
  </si>
  <si>
    <t>Manufacturing and supply of Shaft Guard</t>
  </si>
  <si>
    <t>Quotation No: 072/2026-27</t>
  </si>
  <si>
    <t>Supply and installation of Seating Bench</t>
  </si>
  <si>
    <t>Material SS 304</t>
  </si>
  <si>
    <t>Size:1350L * 450W * 480mm Height</t>
  </si>
  <si>
    <t>Seating capacity : 03 in each bench</t>
  </si>
  <si>
    <t>SS 304,1.6mm thick sheet, all corners matt and smooth</t>
  </si>
  <si>
    <t>Quotation No: 073/2026-27</t>
  </si>
  <si>
    <t>finish, with anchor bolts and same as per image</t>
  </si>
  <si>
    <t>HSN</t>
  </si>
  <si>
    <t>Complete matt finish</t>
  </si>
  <si>
    <t>Chethan</t>
  </si>
  <si>
    <t xml:space="preserve">Amount Chargeable in Rupees (in words) : Ten lakhs fifty three thousand seven hundred and forty </t>
  </si>
  <si>
    <t>DIP LINE 14 MODIFICTION WORK</t>
  </si>
  <si>
    <t>Old Drying brush set removing and frame Modification work</t>
  </si>
  <si>
    <t>Material 50x50x2mm thick sq tube</t>
  </si>
  <si>
    <t xml:space="preserve">Supply and installation Drying brush assembly set as per PI </t>
  </si>
  <si>
    <t>Supply and installation additional air blow system before Dipping</t>
  </si>
  <si>
    <t>area , Material-1/2" NB pipe with Nozzle- 8 no's with fittings,</t>
  </si>
  <si>
    <t>cover and supports</t>
  </si>
  <si>
    <t xml:space="preserve">BB Chamber &amp; ID Chamber heater fixing plate replacement </t>
  </si>
  <si>
    <t xml:space="preserve">Supply and installation </t>
  </si>
  <si>
    <t>type (BB Chamber - 5 no's,ID Chamber -5 no's)</t>
  </si>
  <si>
    <t xml:space="preserve">work,Material, 300x950x2mm thick sheet -10 no's all removable </t>
  </si>
  <si>
    <t>ID Chamber bottom farmer arae 300mm length extention work</t>
  </si>
  <si>
    <t>Amount Chargeable in Rupees (in words) : Eight lakhs ninty one thousand seven hundred and eighty five only</t>
  </si>
  <si>
    <r>
      <rPr>
        <b/>
        <sz val="11"/>
        <color theme="1"/>
        <rFont val="Arial Narrow"/>
        <family val="2"/>
      </rPr>
      <t>REMI Motor- 0.37KW</t>
    </r>
    <r>
      <rPr>
        <sz val="11"/>
        <color theme="1"/>
        <rFont val="Arial Narrow"/>
        <family val="2"/>
      </rPr>
      <t>, Flange mount, 670-720rpm-1 no, 63mm*2*A =2 Nos</t>
    </r>
  </si>
  <si>
    <t>Quotation No: 074 /2026-27</t>
  </si>
  <si>
    <t xml:space="preserve">Contra belt base UHM Sheet with 50x50x5mm angle </t>
  </si>
  <si>
    <t>support assembly</t>
  </si>
  <si>
    <t>Date : 01.06.2026</t>
  </si>
  <si>
    <t>Amount Chargeable in Rupees (in words) : Three thousand seven hundred and seventy six</t>
  </si>
  <si>
    <t>Date : 02.06.2026</t>
  </si>
  <si>
    <t>Quotation No: 075/2026-27</t>
  </si>
  <si>
    <t xml:space="preserve">Supply off Foot Operated Valve </t>
  </si>
  <si>
    <t>Basket Rework</t>
  </si>
  <si>
    <t>Digital TDS Meter Model-651, 5 Range(0 -1000) ppt coad-08002</t>
  </si>
  <si>
    <t>Digital Conductivity Meter Model-602, Coad- 08002</t>
  </si>
  <si>
    <t>Quotation No: 076R/2026-27</t>
  </si>
  <si>
    <t xml:space="preserve">Amount Chargeable in Rupees (in words) : Forty thousand two hundred and thirty eight </t>
  </si>
  <si>
    <t>General grease</t>
  </si>
  <si>
    <t>NOS</t>
  </si>
  <si>
    <t>Quick relising Valve 3/4 '</t>
  </si>
  <si>
    <t>BRT vibratory bowl bolt ( HT M14 X50MM)</t>
  </si>
  <si>
    <t>Tong Tester Meco Make mod 2727</t>
  </si>
  <si>
    <t>Shell omala  S4WE320 Synthetic oil</t>
  </si>
  <si>
    <t>Float Valve  3/4' SS-304 With SS Ball</t>
  </si>
  <si>
    <t>SS M4*8mm CSK screw</t>
  </si>
  <si>
    <t>M14*50mm high tension bolt TVS/unbroke</t>
  </si>
  <si>
    <t xml:space="preserve">Amount Chargeable in Rupees (in words) :  Seventy three thousand six hundred and ninety one </t>
  </si>
  <si>
    <t>Quotation No: 077/2026-27</t>
  </si>
  <si>
    <t>Quotation No: 078/2026-27</t>
  </si>
  <si>
    <t>Date : 03.06.2026</t>
  </si>
  <si>
    <t>Size;500x460x675 height, Material ss304, 1.2mm thick</t>
  </si>
  <si>
    <t xml:space="preserve">PI Dip line -01 Additional stripping jet and assembly - 2 set </t>
  </si>
  <si>
    <t>supply and instalation</t>
  </si>
  <si>
    <t>( 3 drawers)</t>
  </si>
  <si>
    <t xml:space="preserve">Manufacturing and supply SS304, Drawer Cupboard </t>
  </si>
  <si>
    <t xml:space="preserve">PI ET -06 ,Top polyarbonate sheet with hinges type replacment </t>
  </si>
  <si>
    <t>Size;695x995 x4mm thick with support</t>
  </si>
  <si>
    <t>M5x25mm CRUB Screw knob with locking plate</t>
  </si>
  <si>
    <t>M5x10mm Allen head Screw with washer</t>
  </si>
  <si>
    <t>Amount Chargeable in Rupees (in words) : Forty one thousand two hundred eleven and fifty paise only</t>
  </si>
  <si>
    <t>Quotation No: 079/2026-27</t>
  </si>
  <si>
    <t>Date : 05.06.2026</t>
  </si>
  <si>
    <t>Under water stripping jet assembly and pipe line work all SS 304</t>
  </si>
  <si>
    <t>1) 1/2" Ball valve - 2 nos</t>
  </si>
  <si>
    <t>2) 1/2" Union - 3 nos</t>
  </si>
  <si>
    <t>3) 1" Ball valve   - 1 nos</t>
  </si>
  <si>
    <t>4) 1/2"  'L' Bow - 4 nos</t>
  </si>
  <si>
    <t>5) 1/2"  SCH</t>
  </si>
  <si>
    <t>6) 1/2"&gt;1/4" Deducer - 2 nos</t>
  </si>
  <si>
    <t>7) 1" Pipe Nipple - 1 nos</t>
  </si>
  <si>
    <t>8) Stripping Jet - 4 nos</t>
  </si>
  <si>
    <t>9) Ø1/2" X 2.77 thick NB Pipe - 1 nos</t>
  </si>
  <si>
    <t>Amount Chargeable in Rupees (in words) : Twenty one thousand eight hundred and thirty</t>
  </si>
  <si>
    <t>Quotation No: 080/2026-27</t>
  </si>
  <si>
    <t>NR Conveyer Work</t>
  </si>
  <si>
    <t>Hydraulic Hose pipe</t>
  </si>
  <si>
    <t>Mtrs</t>
  </si>
  <si>
    <t>Hydraulic Oil - 5 ltrs</t>
  </si>
  <si>
    <t>Amount Chargeable in Rupees (in words) : Four thousand one hundred and eighty nine</t>
  </si>
  <si>
    <t>Latex Colour mixing tank with lid</t>
  </si>
  <si>
    <t>Size : Ø375X350mm height</t>
  </si>
  <si>
    <t>Material all SS 304</t>
  </si>
  <si>
    <t>Material SS 304,2mm thick</t>
  </si>
  <si>
    <t>Latex Colour mixing tank table</t>
  </si>
  <si>
    <t>Table size:400X1500X460mm height</t>
  </si>
  <si>
    <t>Table top 1.6mm thick, leg and support 40x40x1.6mm thick sq</t>
  </si>
  <si>
    <t>tube with nylon adjustable leg bush</t>
  </si>
  <si>
    <t xml:space="preserve">Amount Chargeable in Rupees (in words) : Eighty three thousand seven hundred and eighty </t>
  </si>
  <si>
    <t>Quotation No: 081/2026-27</t>
  </si>
  <si>
    <r>
      <t xml:space="preserve">motor assembly and stirrer with blade set </t>
    </r>
    <r>
      <rPr>
        <b/>
        <sz val="12"/>
        <color theme="1"/>
        <rFont val="Arial Narrow"/>
        <family val="2"/>
      </rPr>
      <t>(motor your scope)</t>
    </r>
  </si>
  <si>
    <t>Quotation No: 082/2026-27</t>
  </si>
  <si>
    <t>Date : 09.06.2026</t>
  </si>
  <si>
    <t>Ø2" 'L'Bow</t>
  </si>
  <si>
    <t>Transport amount</t>
  </si>
  <si>
    <t>Ø2" Ball valve</t>
  </si>
  <si>
    <t>Ø2" Conector</t>
  </si>
  <si>
    <t>Ø2" Union</t>
  </si>
  <si>
    <t>Ø3" 'L'Bow</t>
  </si>
  <si>
    <t>Ø3" Conector</t>
  </si>
  <si>
    <t>Ø3" CPVC Fittings</t>
  </si>
  <si>
    <t>Ø3" Ball valve</t>
  </si>
  <si>
    <t>Quotation No: 083/2026-27</t>
  </si>
  <si>
    <t>MS Support</t>
  </si>
  <si>
    <t>Cable tray for pipe line support</t>
  </si>
  <si>
    <t>6" GI Tray</t>
  </si>
  <si>
    <t>12" GI Tray</t>
  </si>
  <si>
    <t>18" GI Tray</t>
  </si>
  <si>
    <t>U Clamp set</t>
  </si>
  <si>
    <t xml:space="preserve">Supply of Waste water collection and treatment system tank </t>
  </si>
  <si>
    <t>and pipe line work all inlet Ø2" CPVC Fittings</t>
  </si>
  <si>
    <t xml:space="preserve">Amount Chargeable in Rupees (in words) : Fourteen lakhs seven thousand sixty one and fifty paise </t>
  </si>
  <si>
    <t>110 VAV Seal Gasket for PI Washing machine</t>
  </si>
  <si>
    <t>190 VAV Seal Gasket for PI Washing machine</t>
  </si>
  <si>
    <t>SS 304 2mm thick length 1000 * width 460mm sheet supply</t>
  </si>
  <si>
    <t xml:space="preserve">Amount Chargeable in Rupees (in words) : Thirty three thousand five hundred and twelve </t>
  </si>
  <si>
    <t>Rubber flexible gasket 25 width * 12mm thick</t>
  </si>
  <si>
    <t>Quotation No: 085/2026-27</t>
  </si>
  <si>
    <t>Date : 10.06.2026</t>
  </si>
  <si>
    <t>Supply of SS 304 Oven jig frame "V" type Ø5mm Rod and</t>
  </si>
  <si>
    <t>"V" type Ø5mm support rod</t>
  </si>
  <si>
    <t>Amount Chargeable in Rupees (in words) : Forty three thousand four hundred and twenty four only</t>
  </si>
  <si>
    <t>Quotation No: 086/2026-27</t>
  </si>
  <si>
    <t>Manufacturing and supply of SS 304 Tank</t>
  </si>
  <si>
    <t>Size: Ø1000 * 2000mm Height</t>
  </si>
  <si>
    <t>Tank shell 5mm thickness</t>
  </si>
  <si>
    <t>Tank dish 6mm thickness</t>
  </si>
  <si>
    <t>Tank top man hole - 1 no, side man hole - 1 no</t>
  </si>
  <si>
    <t>SCH 40 x 5.16mm thick *2.5mm pipe and fittings</t>
  </si>
  <si>
    <t>21/2" Pipe - 6 mtrs</t>
  </si>
  <si>
    <t>21/2" L Bow - 3 Nos</t>
  </si>
  <si>
    <t>21/2" 'T' - 3 Nos</t>
  </si>
  <si>
    <t>21/2" Flange - 14 Nos</t>
  </si>
  <si>
    <t>Fasteners with installation</t>
  </si>
  <si>
    <t>Fasteners with installation, complete matt finishing</t>
  </si>
  <si>
    <t>Ø114mm pipe for leg and Ø200x10mm thick leg support plate</t>
  </si>
  <si>
    <t>Amount Chargeable in Rupees (in words) : Four lakhs seven thousand six hundred and thirty one only</t>
  </si>
  <si>
    <t>AQUAMATIX INC.</t>
  </si>
  <si>
    <t>GSTIN: 29AALFA8434D1ZD</t>
  </si>
  <si>
    <t>#38,Yelachenahalli,11KM Kanakapura Main Road,                                                                                                                                                                                                                                              Bengaluru-560062</t>
  </si>
  <si>
    <t>Quotation No: 087/2026-27</t>
  </si>
  <si>
    <t>UC205 Bearing with UCP Pillow Block.</t>
  </si>
  <si>
    <t>Main motor guard rigid fixing.</t>
  </si>
  <si>
    <t>Final equipment spirit level check and alignment.</t>
  </si>
  <si>
    <t>Supply and installation/service.</t>
  </si>
  <si>
    <t>Main SS 304 Shaft for METM machine                                                                                                                                                                                                                                                                              (Dia. 25 mm × Length 950 mm)</t>
  </si>
  <si>
    <t>Manufacturing and supply of MS Tank</t>
  </si>
  <si>
    <t>Inside one coat epoxy paint out side yellow primer paint</t>
  </si>
  <si>
    <t>Amount Chargeable in Rupees (in words) : Two lakhs seventy seven thousand three hundred only</t>
  </si>
  <si>
    <t>Deep Grv.Bl.Brg 6204Zz- 20/47X14</t>
  </si>
  <si>
    <t>Deep Grv.Bl.Brg 6205Zz-25/52X15</t>
  </si>
  <si>
    <t>Ball Bearing 6002 2Z</t>
  </si>
  <si>
    <t>BALL BEARING - 6000-2Z</t>
  </si>
  <si>
    <t>BEARING : 6201-ZZ (SKF )</t>
  </si>
  <si>
    <t>Quotation No: 088/2026-27</t>
  </si>
  <si>
    <t xml:space="preserve">Amount Chargeable in Rupees (in words) : Twenty seven thousand seven hundred fifty three and sixty paise </t>
  </si>
  <si>
    <t>Quotation No: 089/2026-27</t>
  </si>
  <si>
    <t>Amount Chargeable in Rupees (in words) : Fifty seven thousand one hundred and twelve</t>
  </si>
  <si>
    <t>Replacement of base bolts with anti-vibration pads (M20×100mm)</t>
  </si>
  <si>
    <t>Quotation No: 090/2026-27</t>
  </si>
  <si>
    <t>Amount Chargeable in Rupees (in words) : Sixteen thousand two hundred and twenty five only</t>
  </si>
  <si>
    <t>INDIRA FOOD PVT. LTD.</t>
  </si>
  <si>
    <t>Unit 5, Lakshmi Industrial Estate,Kanakanagar Yelachenahalli,Kanakapura Road,B'lore-560078</t>
  </si>
  <si>
    <t>GSTIN:29AADCI5330H1ZM</t>
  </si>
  <si>
    <t>Manufacturing and supply of SS 304 Shaft Ø74mm* 461mm length with machining work</t>
  </si>
  <si>
    <t xml:space="preserve"> Canteen waste water to collection tank Ø2" CPVC pipe line</t>
  </si>
  <si>
    <t xml:space="preserve"> PI Farmer wash water to collection Ø2" CPVC pipe line </t>
  </si>
  <si>
    <t>Material 40x40x5mm thick angle 1000mm</t>
  </si>
  <si>
    <t>Waste water collection and treatment system tank and pipe</t>
  </si>
  <si>
    <t xml:space="preserve"> line work all Ø2" CPVC Supreme brand SDR 13.5</t>
  </si>
  <si>
    <t>Ø2" 'T' and air went</t>
  </si>
  <si>
    <t>Ø1" Air went</t>
  </si>
  <si>
    <t>Tank outlet and inlet fittings 6 tanks</t>
  </si>
  <si>
    <t>10 KL Sintex tank 3 layer supreme brand</t>
  </si>
  <si>
    <t>5 KL Sintex tank 3 layer supreme brand</t>
  </si>
  <si>
    <t>Date : 11.06.2026</t>
  </si>
  <si>
    <t>Quotation No: 092/2026-27</t>
  </si>
  <si>
    <t>Amount Chargeable in Rupees (in words) : Seven lakhs seven eight thousand and eight hundred only</t>
  </si>
  <si>
    <t>Air pipe line for ETP Tank</t>
  </si>
  <si>
    <t>2) Air nozzle - 24 nos</t>
  </si>
  <si>
    <t>3) 11/4" Union - 2 nos</t>
  </si>
  <si>
    <t>4) 11/4" Ball valve - 2 nos</t>
  </si>
  <si>
    <t>5) Support MS 40X40X5mm thick angle</t>
  </si>
  <si>
    <t>1) 11/4" X 2.77mm thick NB Pipe</t>
  </si>
  <si>
    <t>Amount Chargeable in Rupees (in words) : Forty two thousand one hundred and eighty five only</t>
  </si>
  <si>
    <t>Quotation No: 093/2026-27</t>
  </si>
  <si>
    <t>Date : 12.06.2026</t>
  </si>
  <si>
    <t>Quotation No: 094/2026-27</t>
  </si>
  <si>
    <t>Material Specification Details</t>
  </si>
  <si>
    <t>Connection Specification Details</t>
  </si>
  <si>
    <t>9) Agitator Motor - 0.18KW, SEW: WF20 63M4</t>
  </si>
  <si>
    <t>10) SS 304 Swivel Wheel -6 Inch With Brake - 2 Nos</t>
  </si>
  <si>
    <t>11) SS 304 Swivel Wheel -6 Inch Without Brake-2Nos</t>
  </si>
  <si>
    <t>1) Ø1.5"-Ø1" Product Outlet With Ball Valve</t>
  </si>
  <si>
    <t>2) Ø1.5"-Ø1" Product Outlet With Ball Valve</t>
  </si>
  <si>
    <t>3) Ø3/4" Chiller Intlet With Ball Valve</t>
  </si>
  <si>
    <t>4) Ø3/4" Chiller Intlet With Ball Valve</t>
  </si>
  <si>
    <t>5) Ø11/4" Limpet Coil</t>
  </si>
  <si>
    <t>6) Ø1/2" Temperature Sensor - PT100</t>
  </si>
  <si>
    <t>1) SS 304 Inner Shell 3mm thick</t>
  </si>
  <si>
    <t>7) SS 304 Frame With Ballfoot</t>
  </si>
  <si>
    <t>2) SS 304 Inner Bottom 3mm thick</t>
  </si>
  <si>
    <t>5) SS 304 Outer Bottom 1.5mm thick</t>
  </si>
  <si>
    <t>6) SS 304 Openable Door 2mm thick</t>
  </si>
  <si>
    <t>4) SS 304 Outer Shell 1.5mm thick</t>
  </si>
  <si>
    <t>12) Flange set with stirrer</t>
  </si>
  <si>
    <t>3) SS 304  Openable Door 2mm thick</t>
  </si>
  <si>
    <t>8) Puff Insulation 50mm</t>
  </si>
  <si>
    <t>Tank Specification</t>
  </si>
  <si>
    <t>Jacket Design Pressure 6 Bar</t>
  </si>
  <si>
    <t>Jacket Operating Pressure 4 Bar</t>
  </si>
  <si>
    <t>Jacket Operating Temperature</t>
  </si>
  <si>
    <t>Jacket Testing Pressure (In-House,
For Welding Leak Checkup) 6 Bar</t>
  </si>
  <si>
    <t xml:space="preserve">Jacket Design Temperature 95° C
</t>
  </si>
  <si>
    <t>Amount Chargeable in Rupees (in words) : Eight lakhs twenty eight thousand seven hundred and forteen only</t>
  </si>
  <si>
    <t>Manufacturing and supply of 160L SS304 Day tank with jacket</t>
  </si>
  <si>
    <t>Size: 105 9 H X Ø630</t>
  </si>
  <si>
    <t>Payment: 50% advance balance 50% after supply</t>
  </si>
  <si>
    <t>Quotation No: 095/2026-27</t>
  </si>
  <si>
    <t>MS Panel box with powder coating</t>
  </si>
  <si>
    <t xml:space="preserve">2'W * 2.5'H *1'D </t>
  </si>
  <si>
    <t>Material 1.6mm thick MS Sheet</t>
  </si>
  <si>
    <t>Amount Chargeable in Rupees (in words) : Seventeen thousand seven hundred only</t>
  </si>
  <si>
    <t>Quotation No: 096/2026-27</t>
  </si>
  <si>
    <t>NR Dipline drying brush modification work</t>
  </si>
  <si>
    <t>Amount Chargeable in Rupees (in words) : Eighteen thousand two hundred and ninety</t>
  </si>
  <si>
    <t>Compounding tank tig welding work</t>
  </si>
  <si>
    <t>GUM</t>
  </si>
  <si>
    <t>Quotation No: 091R/2026-27</t>
  </si>
  <si>
    <t xml:space="preserve">Amount Chargeable in Rupees (in words) : Twenty four lakhs fifty five thousand eight hundred   and seventy fifty </t>
  </si>
  <si>
    <r>
      <rPr>
        <b/>
        <sz val="11"/>
        <color theme="1"/>
        <rFont val="Arial Narrow"/>
        <family val="2"/>
      </rPr>
      <t>Payment</t>
    </r>
    <r>
      <rPr>
        <sz val="11"/>
        <color theme="1"/>
        <rFont val="Arial Narrow"/>
        <family val="2"/>
      </rPr>
      <t>: 50% advance balance 50% after supply</t>
    </r>
  </si>
  <si>
    <t xml:space="preserve">CWS Water to collection tank Ø2" CPVC pipe line </t>
  </si>
  <si>
    <t xml:space="preserve">NR Farmer wash water to collection tank Ø2" CPVC pipe line </t>
  </si>
  <si>
    <t xml:space="preserve">Back wash water to collection tank Ø2" CPVC pipe line </t>
  </si>
  <si>
    <t xml:space="preserve">NR &amp; PI Latex coagulation water to collection tank  Ø2" CPVC pipe line </t>
  </si>
  <si>
    <t>4 Tanks outlet and drain water  Ø3" CPVC  SCH 40 pipe line  Supreme brand Sch-40</t>
  </si>
  <si>
    <t>SS 5mm 125 * 100 welding work  -8 nos</t>
  </si>
  <si>
    <t>SS Trolley modification work</t>
  </si>
  <si>
    <t>SS Stand wheel replacement work - 2 nos</t>
  </si>
  <si>
    <t>Quotation No: 099/2026-27</t>
  </si>
  <si>
    <t>Amount Chargeable in Rupees (in words) : Fourteen thousand forty two only</t>
  </si>
  <si>
    <t>All Trolley fabrication work</t>
  </si>
  <si>
    <t>Supply of SS 304 Filter stand</t>
  </si>
  <si>
    <t>SS 304 Sink Table with door</t>
  </si>
  <si>
    <t>Size:750L * 510W * 860mm Height</t>
  </si>
  <si>
    <t xml:space="preserve">Material - 30x30x1.6mm thick sq tube </t>
  </si>
  <si>
    <t>SS 304 Sensor fixing plate</t>
  </si>
  <si>
    <t>Size: 200 * 140 * 1.5mm thick</t>
  </si>
  <si>
    <t>leg bush machining and fitting</t>
  </si>
  <si>
    <t>Quotation No: 100/2026-27</t>
  </si>
  <si>
    <t>Date : 15.06.2026</t>
  </si>
  <si>
    <t>SAGIX SOLUTION</t>
  </si>
  <si>
    <t>#1111,34th Main,41st Cross, Poornapragna Layout, Uttarahalli,Bangalore-560061</t>
  </si>
  <si>
    <t>GSTIN: 29AHOPK7121K2ZV</t>
  </si>
  <si>
    <t>Amount Chargeable in Rupees (in words) : Eighty nine thousand three hundred and eighty five only</t>
  </si>
  <si>
    <t>1/2" SS Pipe, 25mm flat and all removable type fitting</t>
  </si>
  <si>
    <t>Aluminium Heater plate machining, drilling, tapping,and teflon</t>
  </si>
  <si>
    <t>1.2mm thick sheet for table top and door with adjustable leg bush</t>
  </si>
  <si>
    <t>Quotation No: 101/2026-27</t>
  </si>
  <si>
    <t>Size: 7" X 9" X 5mm thick plate with Ø25mm pipe 1450mm length</t>
  </si>
  <si>
    <t>SS 304 SCRAPER  ( D.C No.053 )</t>
  </si>
  <si>
    <t>Supply of SS 304 Oven jig frame "V" type Ø6mm Rod and</t>
  </si>
  <si>
    <t>"V" type Ø6mm support rod</t>
  </si>
  <si>
    <t>SS 304 Hanging dummy plate with copper hook - 1 no</t>
  </si>
  <si>
    <t>Size: 300 * 120</t>
  </si>
  <si>
    <t>3mm thick sheet with Ø5mm hole</t>
  </si>
  <si>
    <t>SS 304 Tray type Basket with two handle</t>
  </si>
  <si>
    <t xml:space="preserve">Size: 430 * 430 *30mm Height  </t>
  </si>
  <si>
    <t xml:space="preserve">Amount Chargeable in Rupees (in words) : Seventy five thousand five hundred and twenty </t>
  </si>
  <si>
    <t>SHAFT FOR METM UPROLLING BELT PULLEY</t>
  </si>
  <si>
    <t>METM DRIVEN PULLEY FOR UPROLLING MOTOR</t>
  </si>
  <si>
    <t>METM DRIVE PULLEY FOR UPROLLING MOTOR</t>
  </si>
  <si>
    <t>Amount Chargeable in Rupees (in words) : Eighty one thousand five hundred twenty six and twenty paise</t>
  </si>
  <si>
    <t>Quotation No: 102R/2026-27</t>
  </si>
  <si>
    <t>Quotation No: 103/2026-27</t>
  </si>
  <si>
    <t>SS 304 Shaft Ø76mm* 675mm length with machining work</t>
  </si>
  <si>
    <t>SS 304 Impeller and shaft machining work</t>
  </si>
  <si>
    <t>Amount Chargeable in Rupees (in words) : Twenty nine thousand five hundred only</t>
  </si>
  <si>
    <t>SS 304 Ø70mm Bush and 42x160x8 mm blower machining work</t>
  </si>
  <si>
    <t>Ø8mm thick plate 1mm thick sheet welded, Ø70X14mm thick bush with 42X107X8 mm thick blower welded - 4 nos</t>
  </si>
  <si>
    <t>Caparo Engineering Fastener (P) Ltd.</t>
  </si>
  <si>
    <t>Chaupanki, Tanukara, Bhiwadi, Rajasthan, -301019</t>
  </si>
  <si>
    <t>Kind Atten: Mr.Satpal Verma</t>
  </si>
  <si>
    <t>Date : 16.06.2026</t>
  </si>
  <si>
    <t>Quotation No: 104/2026-27</t>
  </si>
  <si>
    <t>Wooden Box</t>
  </si>
  <si>
    <t>Quotation valid : 9 to 11 weeks</t>
  </si>
  <si>
    <t>0.5mm Plates NBR Gaskets &amp; Carbon steel painted frame)</t>
  </si>
  <si>
    <t xml:space="preserve">Complete PHE: TXI22MX Plates 80 (Diagonal flow) (SS 316L </t>
  </si>
  <si>
    <t>New PHE TXI22MX  80</t>
  </si>
  <si>
    <t>Terms &amp; Conditions:</t>
  </si>
  <si>
    <t>Amount Chargeable in Rupees (in words) : Three lakhs thirty seven thousand two hundred and nine only</t>
  </si>
  <si>
    <t xml:space="preserve">                                                                                                                      Round of</t>
  </si>
  <si>
    <t>Quotation No: 105/2026-27</t>
  </si>
  <si>
    <t xml:space="preserve">Size: 600mm B * 950mm L * 1600mm H </t>
  </si>
  <si>
    <t>Frame : aliminum 2mm thick</t>
  </si>
  <si>
    <t>Front door: toughed glass full ( 5mm thick )</t>
  </si>
  <si>
    <t>Rear door: steel ( 1.5mm thick )</t>
  </si>
  <si>
    <t>Sliding rack capacity ( 10kg mini)</t>
  </si>
  <si>
    <t>ELECTROLINKS TECHNOLOGIES PVT LTD</t>
  </si>
  <si>
    <t>4 Lifting hook, wheel glass door, electric panel</t>
  </si>
  <si>
    <t xml:space="preserve">Amount Chargeable in Rupees (in words) : Sixty seven thousand eight hundred and fifty </t>
  </si>
  <si>
    <r>
      <rPr>
        <b/>
        <sz val="11"/>
        <color theme="1"/>
        <rFont val="Arial Narrow"/>
        <family val="2"/>
      </rPr>
      <t>Payment Terms</t>
    </r>
    <r>
      <rPr>
        <sz val="11"/>
        <color theme="1"/>
        <rFont val="Arial Narrow"/>
        <family val="2"/>
      </rPr>
      <t>: 100% Advance</t>
    </r>
  </si>
  <si>
    <t>Date : 17.06.2026</t>
  </si>
  <si>
    <t>Manufacturing and supply of MS Control Panel with powder coating</t>
  </si>
  <si>
    <t>SMOKE GREY ENAMEL</t>
  </si>
  <si>
    <t>Liter</t>
  </si>
  <si>
    <t>RED-OXIDE</t>
  </si>
  <si>
    <t>EPOXY THINNER</t>
  </si>
  <si>
    <t>GOLDEN YELLOW PAINT</t>
  </si>
  <si>
    <t>N C THINNER</t>
  </si>
  <si>
    <t>SIEMENS GRAY</t>
  </si>
  <si>
    <t>OXFORD BLUE</t>
  </si>
  <si>
    <t>PHIROZI BLUE-ENAMEL PAINT</t>
  </si>
  <si>
    <t>POST OFFICE RED</t>
  </si>
  <si>
    <t>PUTTY BLADE-4</t>
  </si>
  <si>
    <t>BOTTLE GREEN - ENAMEL PAINT</t>
  </si>
  <si>
    <t>EPOXY PAINT WHITE</t>
  </si>
  <si>
    <t>Paint Sky Blue</t>
  </si>
  <si>
    <t>Paint Roller</t>
  </si>
  <si>
    <t>Cut resistance Nitrile bound hand gloves</t>
  </si>
  <si>
    <t>Birla white Putty</t>
  </si>
  <si>
    <t>KG</t>
  </si>
  <si>
    <t>Biral White Cement</t>
  </si>
  <si>
    <t>Quotation No: 106R/2026-27</t>
  </si>
  <si>
    <t>Amount Chargeable in Rupees (in words) : Thirty three thousand six hundred and fifty paise</t>
  </si>
  <si>
    <t>Quotation No: 107/2026-27</t>
  </si>
  <si>
    <t>Date : 18.06.2026</t>
  </si>
  <si>
    <t>2" Sproket - 2 Nos</t>
  </si>
  <si>
    <t>3" Sproket - 2 Nos</t>
  </si>
  <si>
    <t>NR CONTRA BEADING WORK</t>
  </si>
  <si>
    <t>Amount Chargeable in Rupees (in words) : Seven thousand four hundred and thirty four</t>
  </si>
  <si>
    <t>1/2" Chain - 3 Mtrs 4 link</t>
  </si>
  <si>
    <t>Quotation No: 108/2026-27</t>
  </si>
  <si>
    <t>and new radial blower fixing work</t>
  </si>
  <si>
    <t>SS 304, 1.6mm and 2mm thick sheet</t>
  </si>
  <si>
    <t>Radial blower fixing area old cover sheet removing</t>
  </si>
  <si>
    <t>Amount Chargeable in Rupees (in words) : Forty two thousand and sixty seven only</t>
  </si>
  <si>
    <r>
      <rPr>
        <sz val="24"/>
        <rFont val="Arial Narrow"/>
        <family val="2"/>
      </rPr>
      <t xml:space="preserve">   </t>
    </r>
    <r>
      <rPr>
        <sz val="24"/>
        <rFont val="Algerian"/>
        <family val="5"/>
      </rPr>
      <t>MAM INDUSTRIES</t>
    </r>
    <r>
      <rPr>
        <sz val="26"/>
        <rFont val="Arial Narrow"/>
        <family val="2"/>
      </rPr>
      <t xml:space="preserve"> </t>
    </r>
    <r>
      <rPr>
        <sz val="11"/>
        <rFont val="Arial Narrow"/>
        <family val="2"/>
      </rPr>
      <t xml:space="preserve">                                                                                                                                                                                                                                                                                                                                                                                              No.113,Kanakapura Road ,Yelachenahalli,                                                                                                                                                                                                                                                     Uttarahalli,Bangalore South Bangalore-560062                                                                                                                                                                                                                                                                       GSTIN No. 29CTCPM1851L1ZC                                                                                                                                                                                                                   mamindustries19@gmail.com                                                                                                                                                                                                 Phone No.6381163159</t>
    </r>
  </si>
  <si>
    <t>Manufacturing and supply of Hot water tank</t>
  </si>
  <si>
    <t>Jacket heater tank size: 500 * 500 * 600mm * 3mm thick</t>
  </si>
  <si>
    <t>Inner tank size: 500 * 500 * 600mm * 3mm thick SS 316</t>
  </si>
  <si>
    <t>SS 304, Outer cladding SS 304 1.6mm thick</t>
  </si>
  <si>
    <t>a) 1" Inlet - 1 no</t>
  </si>
  <si>
    <t>b) 1" Outlet - 1 no</t>
  </si>
  <si>
    <t>Heater panel board material</t>
  </si>
  <si>
    <t>1) Honeywell temperature controller - 1 no</t>
  </si>
  <si>
    <t>3) On and of selector switch  - 1 no</t>
  </si>
  <si>
    <t>7) 300 mm RTD Sensor- 1 no</t>
  </si>
  <si>
    <t>8) Heater and indicator - 1 no</t>
  </si>
  <si>
    <t>9) 6kw heater - 2 nos</t>
  </si>
  <si>
    <t>Amount Chargeable in Rupees (in words) : One lakh eighty four thousand six hundred and seventy only</t>
  </si>
  <si>
    <t>Quotation No: 109/2026-27</t>
  </si>
  <si>
    <t>S V ENGINEERS &amp; CONSULTANTS</t>
  </si>
  <si>
    <t>#43 M, 3rd Cross, Maruthinagar, Kamakshipalya, Bangalore - 560079</t>
  </si>
  <si>
    <t>GSTIN: 29ADQPC2663N1ZZ</t>
  </si>
  <si>
    <t>2) 40A 4 pole MCB - 1 no</t>
  </si>
  <si>
    <t>4) 6A single Pole MCB - 1 no</t>
  </si>
  <si>
    <t>5) 32A 3 Pole MCB - 2 nos</t>
  </si>
  <si>
    <t>6) A 30 Connector - 2 nos</t>
  </si>
  <si>
    <t>d) Pressure relief valve - 1 no</t>
  </si>
  <si>
    <r>
      <t>c) 1</t>
    </r>
    <r>
      <rPr>
        <sz val="11"/>
        <color theme="1"/>
        <rFont val="Arial Narrow"/>
        <family val="2"/>
      </rPr>
      <t>1/4"</t>
    </r>
    <r>
      <rPr>
        <sz val="12"/>
        <color theme="1"/>
        <rFont val="Arial Narrow"/>
        <family val="2"/>
      </rPr>
      <t xml:space="preserve"> Drain valve - 1 no</t>
    </r>
  </si>
  <si>
    <t>MS Ø1" X 2.77 mm thick NB Pipe,1" Valve and fitting with painting</t>
  </si>
  <si>
    <t>work with suppoting angle, fittings and control valves</t>
  </si>
  <si>
    <t xml:space="preserve">assembly, 1" NB Pipe line and insulation and cladding work, 6 mtrs, </t>
  </si>
  <si>
    <t>Additional support 40X40X5mm angle</t>
  </si>
  <si>
    <t>Civil and Structural Works</t>
  </si>
  <si>
    <t>ISMC 100 Chanel and 40X40X5mm angle</t>
  </si>
  <si>
    <t>NR Washing area slurry tank 2 nos, replacement with MS stand</t>
  </si>
  <si>
    <t>DM Water header pipeline and "F" angle support, 1"X1/2" CPVC Pipe line</t>
  </si>
  <si>
    <t>Chiller water header pipe line</t>
  </si>
  <si>
    <t>NAOH header Pipe line for leach tank</t>
  </si>
  <si>
    <t xml:space="preserve">Hot water Suction and Discharge header pipe line with Fittings work and </t>
  </si>
  <si>
    <t>Delivery: Delivery after your PO date</t>
  </si>
  <si>
    <t>GST: 18%</t>
  </si>
  <si>
    <t>Date : 19.06.2026</t>
  </si>
  <si>
    <t>Quotation No: 110/2026-27</t>
  </si>
  <si>
    <t>Supply and installation Line 06 and 07 Flex Center partition work</t>
  </si>
  <si>
    <t>Soft water MS header Pipe line work and "F" angle support</t>
  </si>
  <si>
    <t>valve and fittings 6 mtrs ( Hot water supply and return)</t>
  </si>
  <si>
    <t xml:space="preserve">Mechanical and Utility Works                                                                                                                </t>
  </si>
  <si>
    <t xml:space="preserve">Compressed Air MS Header pipe line work and "F" angle support                                                                                                                                                                                                                                                </t>
  </si>
  <si>
    <t>MS Ø1" X 2.77 mm thick NB Pipe,1" Valve and fitting with painting, all taps are 1/2" ball valves and 1/4" reducer with connectors and 'F' supports</t>
  </si>
  <si>
    <t xml:space="preserve">SAC </t>
  </si>
  <si>
    <t>Partition flex removing from line center of 06 and 07 Relocation Line 07 and 08</t>
  </si>
  <si>
    <t xml:space="preserve">for new line fabrication and installation work line 08 and 09 </t>
  </si>
  <si>
    <t xml:space="preserve">1) Old leach tank </t>
  </si>
  <si>
    <t>Removing Items in old line frame</t>
  </si>
  <si>
    <t>6) Contra beading</t>
  </si>
  <si>
    <t>2) Washing area</t>
  </si>
  <si>
    <t>3) Shiffing area</t>
  </si>
  <si>
    <t>4) ID Chamber</t>
  </si>
  <si>
    <t>5) BB Chamber</t>
  </si>
  <si>
    <t>7) VT Chamber top cover</t>
  </si>
  <si>
    <t xml:space="preserve">8) VT Chamber bottom heater coil plate </t>
  </si>
  <si>
    <t>All structure frame ready to new dip line structure frame</t>
  </si>
  <si>
    <t>SS 5mm 125 * 100 welding work -8 nos</t>
  </si>
  <si>
    <t>Amount Chargeable in Rupees (in words) : Nine thousand four hundred and forty only</t>
  </si>
  <si>
    <t>Quotation No: 111/2026-27</t>
  </si>
  <si>
    <t xml:space="preserve">Ø11/2" CPVC and Ø1"CPVC Pipe line with 19mm K Flex insulation and cladding, Supporting "F" angle for entire Chiller Pipe line ( Day tanks, Dipper tank &amp; AC unit)                                                                                                                                                                </t>
  </si>
  <si>
    <t>PI Line -07 Moving and whole line running condition and handover</t>
  </si>
  <si>
    <t>n) 1.5 sq mm 4 core - 2 coil</t>
  </si>
  <si>
    <t>m) 2.5 sq mm 4 core - 4 coil</t>
  </si>
  <si>
    <t>l) 4 sq mm 4 core - 3 coil</t>
  </si>
  <si>
    <t>k) 6 sq mm 4 core - 3 coil</t>
  </si>
  <si>
    <t>b) Tubular legs (6 qs mm) -1000 nos</t>
  </si>
  <si>
    <t>d) MCB din rail - 2 mtrs</t>
  </si>
  <si>
    <t>e) Cable jointing sleeve (6mm to 16mm)  - 40 mtrs</t>
  </si>
  <si>
    <t>f) Soldering lid - 3 set</t>
  </si>
  <si>
    <t>g) Baspa box and connector box fixing screw -24 nos</t>
  </si>
  <si>
    <t>h) Screw fixing wood piece - 30 nos</t>
  </si>
  <si>
    <t>j) Tubular pin type legs - 1000 nos</t>
  </si>
  <si>
    <t>20X20X1.6mm thick sq pipe with flex frame - 50mtrs length</t>
  </si>
  <si>
    <t>Quotation No: 115/2026-27</t>
  </si>
  <si>
    <t>PI Dip line -07 Electrical modification work</t>
  </si>
  <si>
    <t>Date : 20.06.2026</t>
  </si>
  <si>
    <t>Note: Work will be done at your site</t>
  </si>
  <si>
    <t>PU' Foam insulation and cladding, complete matt finish</t>
  </si>
  <si>
    <t>( For ISF tank work )</t>
  </si>
  <si>
    <t>PI Dip tank leakage correction work</t>
  </si>
  <si>
    <t xml:space="preserve">CWS Water Ø11/2" CPVC pipe line </t>
  </si>
  <si>
    <t xml:space="preserve"> Canteen waste water Ø11/4" CPVC pipe line</t>
  </si>
  <si>
    <t xml:space="preserve">Farmer Back wash water Ø11/4" CPVC pipe line </t>
  </si>
  <si>
    <t xml:space="preserve"> Farmer acid wash water Ø1"  CPVC pipe line </t>
  </si>
  <si>
    <t xml:space="preserve"> line work all CPVC Supreme brand SDR 13.5</t>
  </si>
  <si>
    <t>CPVC Fittings</t>
  </si>
  <si>
    <t>Tank outlet and inlet fittings 5 tanks</t>
  </si>
  <si>
    <t>Ø11/4" 'L'Bow</t>
  </si>
  <si>
    <t>Ø11/4"  Conector</t>
  </si>
  <si>
    <t>Ø11/4" Ball valve</t>
  </si>
  <si>
    <t>Ø11/2"  Conector</t>
  </si>
  <si>
    <t>Ø11/2"  Ball valve</t>
  </si>
  <si>
    <t>Ø3" Ball valve (2no's Tank inlet ,2no's Tank outlet)</t>
  </si>
  <si>
    <t>Ø1"  Conector</t>
  </si>
  <si>
    <t>Ø1" Ball valve</t>
  </si>
  <si>
    <t>Ø11/4" Union</t>
  </si>
  <si>
    <t xml:space="preserve">Ø1"Union </t>
  </si>
  <si>
    <t>discount</t>
  </si>
  <si>
    <t>Amount Chargeable in Rupees (in words) : One lakh twenty nine thousand eight hundred only</t>
  </si>
  <si>
    <t>Quotation No: 119R1/2026-27</t>
  </si>
  <si>
    <t>Preparation of the NR line 16, 17 &amp;18 line frames to modify as PI lines PI-08 &amp; 09.</t>
  </si>
  <si>
    <t xml:space="preserve">New PI Dip line 08 and 09 ready </t>
  </si>
  <si>
    <t>Old NR Dipline 18,17,16 and 15 dismantling and shifting,</t>
  </si>
  <si>
    <t xml:space="preserve">2 line packing and shifting container </t>
  </si>
  <si>
    <t>Date : 23.06.2026</t>
  </si>
  <si>
    <t>NR LINE SHIFTING &amp; MODIFICATION WORK</t>
  </si>
  <si>
    <t xml:space="preserve">a) Shielded Sensor cable 4 core - 450mtrs  </t>
  </si>
  <si>
    <t>Disassembling, moving, installing and commissioning and hand over the line to operations</t>
  </si>
  <si>
    <t>c) 24"x24" Connector box M6 Bolt- 1 nos</t>
  </si>
  <si>
    <t>i) PVC Terminal connector box fixing screw,wood Lead soldering</t>
  </si>
  <si>
    <t xml:space="preserve"> PI-07 Dipping line shifting total scope of work</t>
  </si>
  <si>
    <t xml:space="preserve">Wall demolition/modification work as required to install PI-07 electrical panels adjacent to PI-06 electrical panel area, all wall finishing, plastering and restoration work after panel relocation, proper housekeeping and restoration of the work area upon completion, De bricks dispoble outside of factory.                                                                                                     </t>
  </si>
  <si>
    <t xml:space="preserve">After shifting line 07 Washing and drying brush area old drain water hole closing and new hole cutting </t>
  </si>
  <si>
    <t>All Header line (6 mtrs) extention work with valve for 08 &amp; 09 conection and line 07 tapping work</t>
  </si>
  <si>
    <t>buffing for frames for new PI lines</t>
  </si>
  <si>
    <t>Conveyor dismantling and packing, shifting to container</t>
  </si>
  <si>
    <t>Dismantle the dipping line in running condition and moving line along with all utilities and facilities including modification / extension, install the line at new location and connect all the utilities and commission the line to handover for the regular operations with all inclusive.</t>
  </si>
  <si>
    <t>Amount Chargeable in Rupees (in words) : Twenty lakhs eighty nine thousand eight hundred and thirty nine</t>
  </si>
  <si>
    <t>Amount Chargeable in Rupees (in words) : Seventeen lakhs nine thousand eight hundred and twenty</t>
  </si>
  <si>
    <t xml:space="preserve">Amount Chargeable in Rupees (in words) : Six lakhs thirty four thousand six hundred thirty nine and forty paise </t>
  </si>
  <si>
    <t>Quotation No: 120/2026-27</t>
  </si>
  <si>
    <t>Date : 24.06.2026</t>
  </si>
  <si>
    <t>Quotation No: 121/2026-27</t>
  </si>
  <si>
    <t>Kolene sludge collecting tray</t>
  </si>
  <si>
    <t>Lumenspace Private Limited</t>
  </si>
  <si>
    <t>Bengaluru Urban District, Karnataka 560105.</t>
  </si>
  <si>
    <t>Plot No. 102, Bommasandra-Jigani Link Road, Anekal Taluk,</t>
  </si>
  <si>
    <t>Amount Chargeable in Rupees (in words) : Fifty one thousand seven hundred and forty three only</t>
  </si>
  <si>
    <r>
      <t xml:space="preserve">Delivery: </t>
    </r>
    <r>
      <rPr>
        <sz val="11"/>
        <color theme="1"/>
        <rFont val="Arial Narrow"/>
        <family val="2"/>
      </rPr>
      <t>25 to 30 days</t>
    </r>
  </si>
  <si>
    <t>SS 304 Grade</t>
  </si>
  <si>
    <r>
      <rPr>
        <b/>
        <sz val="11"/>
        <color theme="1"/>
        <rFont val="Arial Narrow"/>
        <family val="2"/>
      </rPr>
      <t>Quotation valid</t>
    </r>
    <r>
      <rPr>
        <sz val="11"/>
        <color theme="1"/>
        <rFont val="Arial Narrow"/>
        <family val="2"/>
      </rPr>
      <t xml:space="preserve"> : 20 Days</t>
    </r>
  </si>
  <si>
    <r>
      <rPr>
        <b/>
        <sz val="11"/>
        <color theme="1"/>
        <rFont val="Arial Narrow"/>
        <family val="2"/>
      </rPr>
      <t>Payment Terms</t>
    </r>
    <r>
      <rPr>
        <sz val="11"/>
        <color theme="1"/>
        <rFont val="Arial Narrow"/>
        <family val="2"/>
      </rPr>
      <t>: 50% Advance 50% remaining delivery</t>
    </r>
  </si>
  <si>
    <r>
      <rPr>
        <b/>
        <sz val="12"/>
        <color rgb="FF000000"/>
        <rFont val="Arial Narrow"/>
        <family val="2"/>
      </rPr>
      <t>Contra beading</t>
    </r>
    <r>
      <rPr>
        <sz val="12"/>
        <color rgb="FF000000"/>
        <rFont val="Arial Narrow"/>
        <family val="2"/>
      </rPr>
      <t xml:space="preserve"> </t>
    </r>
  </si>
  <si>
    <t>IGEPAL</t>
  </si>
  <si>
    <t xml:space="preserve">Additional Contra beading </t>
  </si>
  <si>
    <t>0.25KW,SEW,Gear motor,1300/54rpm,Flange mount- 2 nos</t>
  </si>
  <si>
    <t>Stipping brush</t>
  </si>
  <si>
    <t>0.37KW,SEW,Gear motor,1300/120rpm,Flange mount- 2 nos</t>
  </si>
  <si>
    <t>0.25KW,SEW,Gear motor,1300/54rpm,Flange mount-1 nos</t>
  </si>
  <si>
    <t>0.25KW,SEW,Gear motor,1300/47rpm - 1 no</t>
  </si>
  <si>
    <t>Date : 25.06.2026</t>
  </si>
  <si>
    <t>Quotation No: 122/2026-27</t>
  </si>
  <si>
    <t>Dwg No: 175.45.053-2</t>
  </si>
  <si>
    <t>Dwg No: 175.45.061-1</t>
  </si>
  <si>
    <t>Dwg No: 188-94-019</t>
  </si>
  <si>
    <t>Housing Body (alluminium 1.5mm thickness)</t>
  </si>
  <si>
    <t>Cover Plate (alluminium 1.5mm thickness)</t>
  </si>
  <si>
    <t>Bracket (MS 16mm thickness)</t>
  </si>
  <si>
    <t>Amount Chargeable in Rupees (in words) : three thousand forty four and forty paisa only</t>
  </si>
  <si>
    <r>
      <t xml:space="preserve">Delivery: </t>
    </r>
    <r>
      <rPr>
        <sz val="11"/>
        <color theme="1"/>
        <rFont val="Albert Sans"/>
      </rPr>
      <t>25 to 30 days</t>
    </r>
  </si>
  <si>
    <r>
      <rPr>
        <b/>
        <sz val="11"/>
        <color theme="1"/>
        <rFont val="Albert Sans"/>
      </rPr>
      <t>Quotation valid</t>
    </r>
    <r>
      <rPr>
        <sz val="11"/>
        <color theme="1"/>
        <rFont val="Albert Sans"/>
      </rPr>
      <t xml:space="preserve"> : 20 Days</t>
    </r>
  </si>
  <si>
    <r>
      <rPr>
        <b/>
        <sz val="11"/>
        <color theme="1"/>
        <rFont val="Albert Sans"/>
      </rPr>
      <t>Payment Terms</t>
    </r>
    <r>
      <rPr>
        <sz val="11"/>
        <color theme="1"/>
        <rFont val="Albert Sans"/>
      </rPr>
      <t>: 50% Advance 50% remaining delivery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</si>
</sst>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6">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Helv"/>
      <charset val="204"/>
    </font>
    <font>
      <sz val="11"/>
      <name val="Calibri"/>
      <family val="2"/>
      <scheme val="minor"/>
    </font>
    <font>
      <sz val="24"/>
      <name val="Algerian"/>
      <family val="5"/>
    </font>
    <font>
      <sz val="26"/>
      <name val="Algerian"/>
      <family val="5"/>
    </font>
    <font>
      <sz val="11"/>
      <color theme="1"/>
      <name val="Arial Narrow"/>
      <family val="2"/>
    </font>
    <font>
      <b/>
      <sz val="12"/>
      <color theme="1"/>
      <name val="Arial Narrow"/>
      <family val="2"/>
    </font>
    <font>
      <b/>
      <sz val="11"/>
      <color theme="1"/>
      <name val="Arial Narrow"/>
      <family val="2"/>
    </font>
    <font>
      <sz val="12"/>
      <color theme="1"/>
      <name val="Arial Narrow"/>
      <family val="2"/>
    </font>
    <font>
      <b/>
      <sz val="16"/>
      <color theme="1"/>
      <name val="Arial Narrow"/>
      <family val="2"/>
    </font>
    <font>
      <b/>
      <sz val="13"/>
      <color theme="1"/>
      <name val="Arial Narrow"/>
      <family val="2"/>
    </font>
    <font>
      <b/>
      <u/>
      <sz val="12"/>
      <color theme="1"/>
      <name val="Arial Narrow"/>
      <family val="2"/>
    </font>
    <font>
      <sz val="11"/>
      <color theme="1"/>
      <name val="Arial"/>
      <family val="2"/>
    </font>
    <font>
      <sz val="11"/>
      <color rgb="FF000000"/>
      <name val="Arial"/>
      <family val="2"/>
    </font>
    <font>
      <sz val="11"/>
      <color rgb="FF000000"/>
      <name val="Arial Narrow"/>
      <family val="2"/>
    </font>
    <font>
      <sz val="12"/>
      <color rgb="FF000000"/>
      <name val="Arial"/>
      <family val="2"/>
    </font>
    <font>
      <sz val="10"/>
      <color rgb="FF000000"/>
      <name val="Arial Narrow"/>
      <family val="2"/>
    </font>
    <font>
      <sz val="12"/>
      <color rgb="FF000000"/>
      <name val="Arial Narrow"/>
      <family val="2"/>
    </font>
    <font>
      <b/>
      <sz val="11"/>
      <color rgb="FF000000"/>
      <name val="Arial Narrow"/>
      <family val="2"/>
    </font>
    <font>
      <sz val="12"/>
      <color rgb="FF222222"/>
      <name val="Arial Narrow"/>
      <family val="2"/>
    </font>
    <font>
      <b/>
      <sz val="12"/>
      <color rgb="FF222222"/>
      <name val="Arial Narrow"/>
      <family val="2"/>
    </font>
    <font>
      <sz val="12"/>
      <name val="Arial"/>
      <family val="2"/>
    </font>
    <font>
      <sz val="11"/>
      <name val="Arial"/>
      <family val="2"/>
    </font>
    <font>
      <sz val="11"/>
      <name val="Arial Narrow"/>
      <family val="2"/>
    </font>
    <font>
      <b/>
      <u/>
      <sz val="12"/>
      <color rgb="FF000000"/>
      <name val="Arial Narrow"/>
      <family val="2"/>
    </font>
    <font>
      <sz val="12"/>
      <color theme="1"/>
      <name val="Calibri"/>
      <family val="2"/>
      <scheme val="minor"/>
    </font>
    <font>
      <b/>
      <u/>
      <sz val="11"/>
      <color theme="1"/>
      <name val="Arial Narrow"/>
      <family val="2"/>
    </font>
    <font>
      <sz val="11"/>
      <color rgb="FF222222"/>
      <name val="Arial"/>
      <family val="2"/>
    </font>
    <font>
      <b/>
      <sz val="11"/>
      <color rgb="FF000000"/>
      <name val="Arial"/>
      <family val="2"/>
    </font>
    <font>
      <sz val="9"/>
      <color rgb="FF333333"/>
      <name val="Arial"/>
      <family val="2"/>
    </font>
    <font>
      <sz val="9"/>
      <color rgb="FF222222"/>
      <name val="Arial"/>
      <family val="2"/>
    </font>
    <font>
      <sz val="11"/>
      <color rgb="FF222222"/>
      <name val="Arial Narrow"/>
      <family val="2"/>
    </font>
    <font>
      <b/>
      <sz val="11"/>
      <color rgb="FF222222"/>
      <name val="Arial Narrow"/>
      <family val="2"/>
    </font>
    <font>
      <b/>
      <sz val="12"/>
      <color rgb="FF000000"/>
      <name val="Arial Narrow"/>
      <family val="2"/>
    </font>
    <font>
      <sz val="12"/>
      <color theme="1"/>
      <name val="Arial"/>
      <family val="2"/>
    </font>
    <font>
      <sz val="12"/>
      <name val="Calibri"/>
      <family val="2"/>
      <scheme val="minor"/>
    </font>
    <font>
      <sz val="11"/>
      <name val="Calibri"/>
      <family val="5"/>
      <scheme val="minor"/>
    </font>
    <font>
      <b/>
      <sz val="10"/>
      <color theme="1"/>
      <name val="Arial"/>
      <family val="2"/>
    </font>
    <font>
      <sz val="10"/>
      <color theme="1"/>
      <name val="Arial"/>
      <family val="2"/>
    </font>
    <font>
      <sz val="10"/>
      <color rgb="FF222222"/>
      <name val="Arial"/>
      <family val="2"/>
    </font>
    <font>
      <sz val="10"/>
      <color rgb="FF000000"/>
      <name val="Arial"/>
      <family val="2"/>
    </font>
    <font>
      <b/>
      <sz val="11"/>
      <color theme="1"/>
      <name val="Arial"/>
      <family val="2"/>
    </font>
    <font>
      <sz val="12"/>
      <color rgb="FF222222"/>
      <name val="Arial"/>
      <family val="2"/>
    </font>
    <font>
      <sz val="11"/>
      <color rgb="FF000000"/>
      <name val="Calibri"/>
      <family val="2"/>
    </font>
    <font>
      <u/>
      <sz val="11"/>
      <color theme="1"/>
      <name val="Calibri"/>
      <family val="2"/>
      <scheme val="minor"/>
    </font>
    <font>
      <sz val="8"/>
      <name val="Calibri"/>
      <family val="2"/>
      <scheme val="minor"/>
    </font>
    <font>
      <sz val="11"/>
      <color rgb="FF000000"/>
      <name val="Aptos Narrow"/>
      <family val="2"/>
    </font>
    <font>
      <sz val="10"/>
      <color rgb="FF000000"/>
      <name val="Aptos Narrow"/>
      <family val="2"/>
    </font>
    <font>
      <sz val="12"/>
      <color rgb="FF000000"/>
      <name val="Aptos Narrow"/>
      <family val="2"/>
    </font>
    <font>
      <sz val="24"/>
      <name val="Arial Narrow"/>
      <family val="2"/>
    </font>
    <font>
      <sz val="26"/>
      <name val="Arial Narrow"/>
      <family val="2"/>
    </font>
    <font>
      <u/>
      <sz val="11"/>
      <color theme="10"/>
      <name val="Calibri"/>
      <family val="2"/>
      <scheme val="minor"/>
    </font>
    <font>
      <sz val="12"/>
      <name val="Arial Narrow"/>
      <family val="2"/>
    </font>
    <font>
      <sz val="11"/>
      <color theme="1"/>
      <name val="Albert Sans"/>
    </font>
    <font>
      <b/>
      <sz val="16"/>
      <color theme="1"/>
      <name val="Albert Sans"/>
    </font>
    <font>
      <sz val="12"/>
      <color theme="1"/>
      <name val="Albert Sans"/>
    </font>
    <font>
      <b/>
      <sz val="13"/>
      <color theme="1"/>
      <name val="Albert Sans"/>
    </font>
    <font>
      <b/>
      <sz val="12"/>
      <color theme="1"/>
      <name val="Albert Sans"/>
    </font>
    <font>
      <sz val="12"/>
      <name val="Albert Sans"/>
    </font>
    <font>
      <b/>
      <sz val="11"/>
      <color theme="1"/>
      <name val="Albert Sans"/>
    </font>
    <font>
      <u/>
      <sz val="11"/>
      <color theme="1"/>
      <name val="Albert Sans"/>
    </font>
    <font>
      <b/>
      <u/>
      <sz val="12"/>
      <color rgb="FF000000"/>
      <name val="Albert Sans"/>
    </font>
    <font>
      <sz val="12"/>
      <color rgb="FF000000"/>
      <name val="Albert Sans"/>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s>
  <cellStyleXfs count="10">
    <xf numFmtId="0" fontId="0" fillId="0" borderId="0"/>
    <xf numFmtId="0" fontId="2" fillId="0" borderId="0"/>
    <xf numFmtId="0" fontId="3" fillId="0" borderId="0"/>
    <xf numFmtId="0" fontId="4" fillId="0" borderId="0"/>
    <xf numFmtId="0" fontId="3" fillId="0" borderId="0"/>
    <xf numFmtId="43" fontId="1" fillId="0" borderId="0" applyFont="0" applyFill="0" applyBorder="0" applyAlignment="0" applyProtection="0"/>
    <xf numFmtId="0" fontId="3" fillId="0" borderId="0"/>
    <xf numFmtId="0" fontId="3" fillId="0" borderId="0"/>
    <xf numFmtId="0" fontId="3" fillId="0" borderId="0"/>
    <xf numFmtId="0" fontId="54" fillId="0" borderId="0" applyNumberFormat="0" applyFill="0" applyBorder="0" applyAlignment="0" applyProtection="0"/>
  </cellStyleXfs>
  <cellXfs count="404">
    <xf numFmtId="0" fontId="0" fillId="0" borderId="0" xfId="0"/>
    <xf numFmtId="0" fontId="0" fillId="0" borderId="1" xfId="0" applyBorder="1" applyAlignment="1">
      <alignment vertical="center" wrapText="1"/>
    </xf>
    <xf numFmtId="0" fontId="8" fillId="0" borderId="9" xfId="0" applyFont="1" applyBorder="1" applyAlignment="1">
      <alignment horizontal="left" vertical="center"/>
    </xf>
    <xf numFmtId="0" fontId="8" fillId="0" borderId="6" xfId="0" applyFont="1" applyBorder="1" applyAlignment="1">
      <alignment horizontal="center" vertical="center"/>
    </xf>
    <xf numFmtId="0" fontId="11" fillId="0" borderId="12" xfId="0" applyFont="1" applyBorder="1" applyAlignment="1">
      <alignment horizontal="center" vertical="top" wrapText="1"/>
    </xf>
    <xf numFmtId="0" fontId="13" fillId="0" borderId="4" xfId="0" applyFont="1" applyBorder="1" applyAlignment="1">
      <alignment horizontal="left" vertical="center"/>
    </xf>
    <xf numFmtId="0" fontId="11" fillId="0" borderId="8" xfId="0" applyFont="1" applyBorder="1" applyAlignment="1">
      <alignment horizontal="center" vertical="center"/>
    </xf>
    <xf numFmtId="0" fontId="11" fillId="0" borderId="6" xfId="0" applyFont="1" applyBorder="1" applyAlignment="1">
      <alignment horizontal="left" vertical="center" wrapText="1"/>
    </xf>
    <xf numFmtId="0" fontId="8" fillId="0" borderId="15" xfId="0" applyFont="1" applyBorder="1" applyAlignment="1">
      <alignment horizontal="center" vertical="center"/>
    </xf>
    <xf numFmtId="0" fontId="10" fillId="0" borderId="11" xfId="0" applyFont="1" applyBorder="1" applyAlignment="1">
      <alignment horizontal="center" vertical="center"/>
    </xf>
    <xf numFmtId="0" fontId="8" fillId="0" borderId="8" xfId="0" applyFont="1" applyBorder="1" applyAlignment="1">
      <alignment horizontal="center" vertical="top"/>
    </xf>
    <xf numFmtId="0" fontId="14" fillId="0" borderId="0" xfId="0" applyFont="1" applyAlignment="1">
      <alignment horizontal="center" vertical="center"/>
    </xf>
    <xf numFmtId="4" fontId="8" fillId="0" borderId="8" xfId="0" applyNumberFormat="1" applyFont="1" applyBorder="1" applyAlignment="1">
      <alignment horizontal="right" vertical="center"/>
    </xf>
    <xf numFmtId="4" fontId="8" fillId="0" borderId="8" xfId="0" applyNumberFormat="1" applyFont="1" applyBorder="1" applyAlignment="1">
      <alignment vertical="center"/>
    </xf>
    <xf numFmtId="0" fontId="15" fillId="0" borderId="8" xfId="0" applyFont="1" applyBorder="1" applyAlignment="1">
      <alignment horizontal="center" vertical="top"/>
    </xf>
    <xf numFmtId="0" fontId="16" fillId="0" borderId="0" xfId="0" applyFont="1"/>
    <xf numFmtId="0" fontId="15" fillId="0" borderId="6" xfId="0" applyFont="1" applyBorder="1" applyAlignment="1">
      <alignment horizontal="center"/>
    </xf>
    <xf numFmtId="0" fontId="15" fillId="0" borderId="6" xfId="0" applyFont="1" applyBorder="1" applyAlignment="1">
      <alignment horizontal="center" vertical="center"/>
    </xf>
    <xf numFmtId="4" fontId="15" fillId="0" borderId="8" xfId="0" applyNumberFormat="1" applyFont="1" applyBorder="1" applyAlignment="1">
      <alignment horizontal="right" vertical="center"/>
    </xf>
    <xf numFmtId="4" fontId="15" fillId="0" borderId="8" xfId="0" applyNumberFormat="1" applyFont="1" applyBorder="1" applyAlignment="1">
      <alignment vertical="center"/>
    </xf>
    <xf numFmtId="0" fontId="17" fillId="0" borderId="0" xfId="0" applyFont="1"/>
    <xf numFmtId="0" fontId="8" fillId="0" borderId="15" xfId="0" applyFont="1" applyBorder="1" applyAlignment="1">
      <alignment horizontal="center" vertical="top"/>
    </xf>
    <xf numFmtId="0" fontId="18" fillId="0" borderId="14" xfId="0" applyFont="1" applyBorder="1"/>
    <xf numFmtId="0" fontId="15" fillId="0" borderId="9" xfId="0" applyFont="1" applyBorder="1" applyAlignment="1">
      <alignment horizontal="center"/>
    </xf>
    <xf numFmtId="0" fontId="15" fillId="0" borderId="15" xfId="0" applyFont="1" applyBorder="1" applyAlignment="1">
      <alignment horizontal="center"/>
    </xf>
    <xf numFmtId="4" fontId="8" fillId="0" borderId="15" xfId="0" applyNumberFormat="1" applyFont="1" applyBorder="1" applyAlignment="1">
      <alignment horizontal="right" vertical="center"/>
    </xf>
    <xf numFmtId="0" fontId="8" fillId="0" borderId="6" xfId="0" applyFont="1" applyBorder="1" applyAlignment="1">
      <alignment horizontal="center"/>
    </xf>
    <xf numFmtId="4" fontId="8" fillId="0" borderId="8" xfId="0" applyNumberFormat="1" applyFont="1" applyBorder="1"/>
    <xf numFmtId="4" fontId="10" fillId="0" borderId="10" xfId="0" applyNumberFormat="1" applyFont="1" applyBorder="1"/>
    <xf numFmtId="0" fontId="20" fillId="0" borderId="14" xfId="0" applyFont="1" applyBorder="1"/>
    <xf numFmtId="0" fontId="20" fillId="0" borderId="8" xfId="0" applyFont="1" applyBorder="1"/>
    <xf numFmtId="0" fontId="21" fillId="0" borderId="0" xfId="0" applyFont="1"/>
    <xf numFmtId="0" fontId="8" fillId="0" borderId="9" xfId="0" applyFont="1" applyBorder="1" applyAlignment="1">
      <alignment horizontal="center"/>
    </xf>
    <xf numFmtId="0" fontId="8" fillId="0" borderId="15" xfId="0" applyFont="1" applyBorder="1" applyAlignment="1">
      <alignment horizontal="center"/>
    </xf>
    <xf numFmtId="0" fontId="17" fillId="0" borderId="14" xfId="0" applyFont="1" applyBorder="1"/>
    <xf numFmtId="0" fontId="8" fillId="0" borderId="9" xfId="0" applyFont="1" applyBorder="1" applyAlignment="1">
      <alignment horizontal="center" vertical="center"/>
    </xf>
    <xf numFmtId="4" fontId="8" fillId="0" borderId="15" xfId="0" applyNumberFormat="1" applyFont="1" applyBorder="1" applyAlignment="1">
      <alignment vertical="center"/>
    </xf>
    <xf numFmtId="0" fontId="8" fillId="0" borderId="12" xfId="0" applyFont="1" applyBorder="1" applyAlignment="1">
      <alignment horizontal="center" vertical="top"/>
    </xf>
    <xf numFmtId="0" fontId="17" fillId="0" borderId="13" xfId="0" applyFont="1" applyBorder="1"/>
    <xf numFmtId="0" fontId="8" fillId="0" borderId="4" xfId="0" applyFont="1" applyBorder="1" applyAlignment="1">
      <alignment horizontal="center"/>
    </xf>
    <xf numFmtId="0" fontId="8" fillId="0" borderId="4" xfId="0" applyFont="1" applyBorder="1" applyAlignment="1">
      <alignment horizontal="center" vertical="center"/>
    </xf>
    <xf numFmtId="4" fontId="8" fillId="0" borderId="12" xfId="0" applyNumberFormat="1" applyFont="1" applyBorder="1" applyAlignment="1">
      <alignment horizontal="right" vertical="center"/>
    </xf>
    <xf numFmtId="4" fontId="8" fillId="0" borderId="12" xfId="0" applyNumberFormat="1" applyFont="1" applyBorder="1" applyAlignment="1">
      <alignment vertical="center"/>
    </xf>
    <xf numFmtId="0" fontId="22" fillId="0" borderId="0" xfId="0" applyFont="1"/>
    <xf numFmtId="0" fontId="17" fillId="0" borderId="0" xfId="0" applyFont="1" applyAlignment="1">
      <alignment wrapText="1"/>
    </xf>
    <xf numFmtId="0" fontId="23" fillId="0" borderId="0" xfId="0" applyFont="1"/>
    <xf numFmtId="0" fontId="11" fillId="0" borderId="0" xfId="0" applyFont="1" applyAlignment="1">
      <alignment horizontal="left" vertical="center"/>
    </xf>
    <xf numFmtId="0" fontId="8" fillId="0" borderId="0" xfId="0" applyFont="1" applyAlignment="1">
      <alignment horizontal="left"/>
    </xf>
    <xf numFmtId="0" fontId="11" fillId="0" borderId="8" xfId="0" applyFont="1" applyBorder="1" applyAlignment="1">
      <alignment horizontal="center" vertical="top" wrapText="1"/>
    </xf>
    <xf numFmtId="0" fontId="8" fillId="0" borderId="6" xfId="0" applyFont="1" applyBorder="1" applyAlignment="1">
      <alignment horizontal="left"/>
    </xf>
    <xf numFmtId="0" fontId="20" fillId="0" borderId="0" xfId="0" applyFont="1"/>
    <xf numFmtId="4" fontId="15" fillId="0" borderId="8" xfId="0" applyNumberFormat="1" applyFont="1" applyBorder="1" applyAlignment="1">
      <alignment horizontal="center"/>
    </xf>
    <xf numFmtId="0" fontId="8" fillId="0" borderId="8" xfId="0" applyFont="1" applyBorder="1" applyAlignment="1">
      <alignment horizontal="center" vertical="center"/>
    </xf>
    <xf numFmtId="0" fontId="15" fillId="0" borderId="8" xfId="0" applyFont="1" applyBorder="1" applyAlignment="1">
      <alignment horizontal="center"/>
    </xf>
    <xf numFmtId="4" fontId="8" fillId="0" borderId="7" xfId="0" applyNumberFormat="1" applyFont="1" applyBorder="1"/>
    <xf numFmtId="0" fontId="24" fillId="0" borderId="0" xfId="0" applyFont="1"/>
    <xf numFmtId="0" fontId="26" fillId="0" borderId="0" xfId="0" applyFont="1"/>
    <xf numFmtId="0" fontId="15" fillId="0" borderId="0" xfId="0" applyFont="1"/>
    <xf numFmtId="0" fontId="25" fillId="0" borderId="0" xfId="0" applyFont="1" applyAlignment="1">
      <alignment vertical="center"/>
    </xf>
    <xf numFmtId="0" fontId="27" fillId="0" borderId="8" xfId="0" quotePrefix="1" applyFont="1" applyBorder="1" applyAlignment="1">
      <alignment horizontal="center"/>
    </xf>
    <xf numFmtId="0" fontId="20" fillId="0" borderId="8" xfId="0" quotePrefix="1" applyFont="1" applyBorder="1"/>
    <xf numFmtId="0" fontId="18" fillId="0" borderId="8" xfId="0" quotePrefix="1" applyFont="1" applyBorder="1"/>
    <xf numFmtId="0" fontId="16" fillId="0" borderId="0" xfId="0" applyFont="1" applyAlignment="1">
      <alignment wrapText="1"/>
    </xf>
    <xf numFmtId="0" fontId="16" fillId="0" borderId="8" xfId="0" quotePrefix="1" applyFont="1" applyBorder="1"/>
    <xf numFmtId="0" fontId="16" fillId="0" borderId="14" xfId="0" applyFont="1" applyBorder="1"/>
    <xf numFmtId="0" fontId="16" fillId="0" borderId="8" xfId="0" applyFont="1" applyBorder="1"/>
    <xf numFmtId="0" fontId="28" fillId="0" borderId="0" xfId="0" applyFont="1"/>
    <xf numFmtId="0" fontId="11" fillId="0" borderId="6" xfId="0" applyFont="1" applyBorder="1" applyAlignment="1">
      <alignment horizontal="center"/>
    </xf>
    <xf numFmtId="0" fontId="11" fillId="0" borderId="6" xfId="0" applyFont="1" applyBorder="1" applyAlignment="1">
      <alignment horizontal="center" vertical="center"/>
    </xf>
    <xf numFmtId="4" fontId="11" fillId="0" borderId="8" xfId="0" applyNumberFormat="1" applyFont="1" applyBorder="1" applyAlignment="1">
      <alignment horizontal="right" vertical="center"/>
    </xf>
    <xf numFmtId="4" fontId="11" fillId="0" borderId="8" xfId="0" applyNumberFormat="1" applyFont="1" applyBorder="1" applyAlignment="1">
      <alignment vertical="center"/>
    </xf>
    <xf numFmtId="0" fontId="11" fillId="0" borderId="8" xfId="0" applyFont="1" applyBorder="1" applyAlignment="1">
      <alignment horizontal="center" vertical="top"/>
    </xf>
    <xf numFmtId="4" fontId="15" fillId="0" borderId="8" xfId="0" applyNumberFormat="1" applyFont="1" applyBorder="1" applyAlignment="1">
      <alignment horizontal="center" vertical="center"/>
    </xf>
    <xf numFmtId="0" fontId="16" fillId="0" borderId="0" xfId="0" applyFont="1" applyAlignment="1">
      <alignment vertical="center" wrapText="1"/>
    </xf>
    <xf numFmtId="0" fontId="10" fillId="0" borderId="8" xfId="0" applyFont="1" applyBorder="1" applyAlignment="1">
      <alignment horizontal="center" vertical="center"/>
    </xf>
    <xf numFmtId="0" fontId="10" fillId="0" borderId="6" xfId="0" applyFont="1" applyBorder="1" applyAlignment="1">
      <alignment horizontal="center" vertical="center"/>
    </xf>
    <xf numFmtId="0" fontId="8" fillId="0" borderId="8" xfId="0" applyFont="1" applyBorder="1" applyAlignment="1">
      <alignment horizontal="left" vertical="center"/>
    </xf>
    <xf numFmtId="0" fontId="11" fillId="0" borderId="8" xfId="0" applyFont="1" applyBorder="1" applyAlignment="1">
      <alignment horizontal="left" vertical="center"/>
    </xf>
    <xf numFmtId="4" fontId="11" fillId="0" borderId="8" xfId="0" applyNumberFormat="1" applyFont="1" applyBorder="1" applyAlignment="1">
      <alignment horizontal="center"/>
    </xf>
    <xf numFmtId="0" fontId="11" fillId="0" borderId="15" xfId="0" applyFont="1" applyBorder="1" applyAlignment="1">
      <alignment horizontal="center" vertical="top"/>
    </xf>
    <xf numFmtId="0" fontId="11" fillId="0" borderId="9" xfId="0" applyFont="1" applyBorder="1" applyAlignment="1">
      <alignment horizontal="center"/>
    </xf>
    <xf numFmtId="0" fontId="11" fillId="0" borderId="15" xfId="0" applyFont="1" applyBorder="1" applyAlignment="1">
      <alignment horizontal="center"/>
    </xf>
    <xf numFmtId="4" fontId="11" fillId="0" borderId="15" xfId="0" applyNumberFormat="1" applyFont="1" applyBorder="1" applyAlignment="1">
      <alignment horizontal="right" vertical="center"/>
    </xf>
    <xf numFmtId="4" fontId="11" fillId="0" borderId="8" xfId="0" applyNumberFormat="1" applyFont="1" applyBorder="1"/>
    <xf numFmtId="4" fontId="9" fillId="0" borderId="10" xfId="0" applyNumberFormat="1" applyFont="1" applyBorder="1"/>
    <xf numFmtId="0" fontId="8" fillId="0" borderId="8" xfId="0" applyFont="1" applyBorder="1" applyAlignment="1">
      <alignment horizontal="left" vertical="top" wrapText="1"/>
    </xf>
    <xf numFmtId="0" fontId="8" fillId="0" borderId="6" xfId="0" applyFont="1" applyBorder="1" applyAlignment="1">
      <alignment horizontal="left" vertical="top" wrapText="1"/>
    </xf>
    <xf numFmtId="0" fontId="29" fillId="0" borderId="8" xfId="0" applyFont="1" applyBorder="1" applyAlignment="1">
      <alignment horizontal="center" vertical="center"/>
    </xf>
    <xf numFmtId="0" fontId="30" fillId="0" borderId="0" xfId="0" applyFont="1" applyAlignment="1">
      <alignment vertical="top"/>
    </xf>
    <xf numFmtId="0" fontId="8" fillId="0" borderId="6" xfId="0" applyFont="1" applyBorder="1" applyAlignment="1">
      <alignment horizontal="center" vertical="top"/>
    </xf>
    <xf numFmtId="4" fontId="8" fillId="0" borderId="8" xfId="0" applyNumberFormat="1" applyFont="1" applyBorder="1" applyAlignment="1">
      <alignment horizontal="right" vertical="top"/>
    </xf>
    <xf numFmtId="0" fontId="30" fillId="0" borderId="0" xfId="0" applyFont="1" applyAlignment="1">
      <alignment vertical="top" wrapText="1"/>
    </xf>
    <xf numFmtId="0" fontId="30" fillId="0" borderId="14" xfId="0" applyFont="1" applyBorder="1" applyAlignment="1">
      <alignment vertical="top"/>
    </xf>
    <xf numFmtId="0" fontId="8" fillId="0" borderId="9" xfId="0" applyFont="1" applyBorder="1" applyAlignment="1">
      <alignment horizontal="center" vertical="top"/>
    </xf>
    <xf numFmtId="4" fontId="8" fillId="0" borderId="15" xfId="0" applyNumberFormat="1" applyFont="1" applyBorder="1" applyAlignment="1">
      <alignment horizontal="right" vertical="top"/>
    </xf>
    <xf numFmtId="0" fontId="31" fillId="0" borderId="0" xfId="0" applyFont="1"/>
    <xf numFmtId="0" fontId="16" fillId="0" borderId="0" xfId="0" applyFont="1" applyAlignment="1">
      <alignment vertical="top"/>
    </xf>
    <xf numFmtId="4" fontId="11" fillId="0" borderId="12" xfId="0" applyNumberFormat="1" applyFont="1" applyBorder="1"/>
    <xf numFmtId="0" fontId="8" fillId="0" borderId="9" xfId="0" applyFont="1" applyBorder="1" applyAlignment="1">
      <alignment horizontal="left" vertical="top"/>
    </xf>
    <xf numFmtId="0" fontId="32" fillId="0" borderId="0" xfId="0" applyFont="1"/>
    <xf numFmtId="0" fontId="33" fillId="0" borderId="0" xfId="0" applyFont="1" applyAlignment="1">
      <alignment vertical="center" wrapText="1"/>
    </xf>
    <xf numFmtId="0" fontId="34" fillId="0" borderId="0" xfId="0" applyFont="1" applyAlignment="1">
      <alignment vertical="center"/>
    </xf>
    <xf numFmtId="0" fontId="34" fillId="0" borderId="0" xfId="0" applyFont="1" applyAlignment="1">
      <alignment vertical="center" wrapText="1"/>
    </xf>
    <xf numFmtId="0" fontId="20" fillId="0" borderId="8" xfId="0" quotePrefix="1" applyFont="1" applyBorder="1" applyAlignment="1">
      <alignment wrapText="1"/>
    </xf>
    <xf numFmtId="0" fontId="11" fillId="0" borderId="15" xfId="0" applyFont="1" applyBorder="1" applyAlignment="1">
      <alignment horizontal="center" vertical="center"/>
    </xf>
    <xf numFmtId="0" fontId="8" fillId="0" borderId="9" xfId="0" applyFont="1" applyBorder="1" applyAlignment="1">
      <alignment horizontal="left" vertical="top" wrapText="1"/>
    </xf>
    <xf numFmtId="4" fontId="11" fillId="0" borderId="15" xfId="0" applyNumberFormat="1" applyFont="1" applyBorder="1" applyAlignment="1">
      <alignment horizontal="center"/>
    </xf>
    <xf numFmtId="0" fontId="10" fillId="0" borderId="8" xfId="0" applyFont="1" applyBorder="1" applyAlignment="1">
      <alignment horizontal="left" vertical="top" wrapText="1"/>
    </xf>
    <xf numFmtId="0" fontId="20" fillId="0" borderId="0" xfId="0" applyFont="1" applyAlignment="1">
      <alignment vertical="center"/>
    </xf>
    <xf numFmtId="0" fontId="20" fillId="0" borderId="0" xfId="0" quotePrefix="1" applyFont="1" applyAlignment="1">
      <alignment vertical="center" wrapText="1"/>
    </xf>
    <xf numFmtId="0" fontId="20" fillId="0" borderId="14" xfId="0" applyFont="1" applyBorder="1" applyAlignment="1">
      <alignment vertical="center"/>
    </xf>
    <xf numFmtId="0" fontId="20" fillId="0" borderId="14" xfId="0" quotePrefix="1" applyFont="1" applyBorder="1" applyAlignment="1">
      <alignment vertical="center" wrapText="1"/>
    </xf>
    <xf numFmtId="0" fontId="8" fillId="0" borderId="0" xfId="0" applyFont="1" applyAlignment="1">
      <alignment horizontal="left" vertical="top" wrapText="1"/>
    </xf>
    <xf numFmtId="0" fontId="0" fillId="0" borderId="14" xfId="0" applyBorder="1"/>
    <xf numFmtId="0" fontId="11" fillId="0" borderId="6" xfId="0" applyFont="1" applyBorder="1" applyAlignment="1">
      <alignment horizontal="left" vertical="top" wrapText="1"/>
    </xf>
    <xf numFmtId="0" fontId="22" fillId="0" borderId="0" xfId="0" applyFont="1" applyAlignment="1">
      <alignment vertical="center"/>
    </xf>
    <xf numFmtId="0" fontId="22" fillId="0" borderId="0" xfId="0" applyFont="1" applyAlignment="1">
      <alignment vertical="center" wrapText="1"/>
    </xf>
    <xf numFmtId="0" fontId="29" fillId="0" borderId="6" xfId="0" applyFont="1" applyBorder="1" applyAlignment="1">
      <alignment horizontal="center" vertical="center"/>
    </xf>
    <xf numFmtId="0" fontId="37" fillId="0" borderId="0" xfId="0" applyFont="1" applyAlignment="1">
      <alignment horizontal="left" vertical="center"/>
    </xf>
    <xf numFmtId="0" fontId="41" fillId="0" borderId="6" xfId="0" applyFont="1" applyBorder="1" applyAlignment="1">
      <alignment horizontal="left" vertical="top" wrapText="1"/>
    </xf>
    <xf numFmtId="0" fontId="41" fillId="0" borderId="6" xfId="0" applyFont="1" applyBorder="1" applyAlignment="1">
      <alignment horizontal="center" vertical="center"/>
    </xf>
    <xf numFmtId="4" fontId="41" fillId="0" borderId="8" xfId="0" applyNumberFormat="1" applyFont="1" applyBorder="1" applyAlignment="1">
      <alignment horizontal="right" vertical="center"/>
    </xf>
    <xf numFmtId="0" fontId="41" fillId="0" borderId="8" xfId="0" applyFont="1" applyBorder="1" applyAlignment="1">
      <alignment horizontal="center" vertical="center"/>
    </xf>
    <xf numFmtId="0" fontId="41" fillId="0" borderId="8" xfId="0" applyFont="1" applyBorder="1" applyAlignment="1">
      <alignment horizontal="left" vertical="top" wrapText="1"/>
    </xf>
    <xf numFmtId="0" fontId="41" fillId="0" borderId="8" xfId="0" applyFont="1" applyBorder="1" applyAlignment="1">
      <alignment horizontal="left" vertical="center"/>
    </xf>
    <xf numFmtId="0" fontId="43" fillId="0" borderId="8" xfId="0" quotePrefix="1" applyFont="1" applyBorder="1"/>
    <xf numFmtId="0" fontId="41" fillId="0" borderId="6" xfId="0" applyFont="1" applyBorder="1" applyAlignment="1">
      <alignment horizontal="center"/>
    </xf>
    <xf numFmtId="4" fontId="41" fillId="0" borderId="8" xfId="0" applyNumberFormat="1" applyFont="1" applyBorder="1" applyAlignment="1">
      <alignment horizontal="center"/>
    </xf>
    <xf numFmtId="0" fontId="41" fillId="0" borderId="15" xfId="0" applyFont="1" applyBorder="1" applyAlignment="1">
      <alignment horizontal="center" vertical="top"/>
    </xf>
    <xf numFmtId="0" fontId="43" fillId="0" borderId="14" xfId="0" applyFont="1" applyBorder="1"/>
    <xf numFmtId="0" fontId="41" fillId="0" borderId="9" xfId="0" applyFont="1" applyBorder="1" applyAlignment="1">
      <alignment horizontal="center"/>
    </xf>
    <xf numFmtId="0" fontId="41" fillId="0" borderId="15" xfId="0" applyFont="1" applyBorder="1" applyAlignment="1">
      <alignment horizontal="center"/>
    </xf>
    <xf numFmtId="4" fontId="41" fillId="0" borderId="15" xfId="0" applyNumberFormat="1" applyFont="1" applyBorder="1" applyAlignment="1">
      <alignment horizontal="right" vertical="center"/>
    </xf>
    <xf numFmtId="0" fontId="40" fillId="0" borderId="8" xfId="0" applyFont="1" applyBorder="1" applyAlignment="1">
      <alignment horizontal="center" vertical="top"/>
    </xf>
    <xf numFmtId="0" fontId="41" fillId="0" borderId="6" xfId="0" applyFont="1" applyBorder="1" applyAlignment="1">
      <alignment horizontal="center" vertical="top"/>
    </xf>
    <xf numFmtId="4" fontId="41" fillId="0" borderId="8" xfId="0" applyNumberFormat="1" applyFont="1" applyBorder="1" applyAlignment="1">
      <alignment horizontal="right" vertical="top"/>
    </xf>
    <xf numFmtId="0" fontId="41" fillId="0" borderId="8" xfId="0" applyFont="1" applyBorder="1" applyAlignment="1">
      <alignment horizontal="center" vertical="top"/>
    </xf>
    <xf numFmtId="0" fontId="42" fillId="0" borderId="0" xfId="0" applyFont="1" applyAlignment="1">
      <alignment vertical="top"/>
    </xf>
    <xf numFmtId="0" fontId="44" fillId="0" borderId="8" xfId="0" applyFont="1" applyBorder="1" applyAlignment="1">
      <alignment horizontal="center" vertical="center"/>
    </xf>
    <xf numFmtId="0" fontId="15" fillId="0" borderId="6" xfId="0" applyFont="1" applyBorder="1" applyAlignment="1">
      <alignment horizontal="left" vertical="top" wrapText="1"/>
    </xf>
    <xf numFmtId="0" fontId="37" fillId="0" borderId="6" xfId="0" applyFont="1" applyBorder="1" applyAlignment="1">
      <alignment horizontal="center" vertical="center"/>
    </xf>
    <xf numFmtId="4" fontId="37" fillId="0" borderId="8" xfId="0" applyNumberFormat="1" applyFont="1" applyBorder="1" applyAlignment="1">
      <alignment horizontal="right" vertical="center"/>
    </xf>
    <xf numFmtId="0" fontId="37" fillId="0" borderId="8" xfId="0" applyFont="1" applyBorder="1" applyAlignment="1">
      <alignment horizontal="center" vertical="center"/>
    </xf>
    <xf numFmtId="0" fontId="15" fillId="0" borderId="8" xfId="0" applyFont="1" applyBorder="1" applyAlignment="1">
      <alignment horizontal="left" vertical="top" wrapText="1"/>
    </xf>
    <xf numFmtId="0" fontId="30" fillId="0" borderId="0" xfId="0" applyFont="1" applyAlignment="1">
      <alignment vertical="center"/>
    </xf>
    <xf numFmtId="0" fontId="30" fillId="0" borderId="0" xfId="0" applyFont="1" applyAlignment="1">
      <alignment vertical="center" wrapText="1"/>
    </xf>
    <xf numFmtId="0" fontId="14" fillId="0" borderId="8" xfId="0" applyFont="1" applyBorder="1" applyAlignment="1">
      <alignment horizontal="center" vertical="center"/>
    </xf>
    <xf numFmtId="0" fontId="20" fillId="0" borderId="8" xfId="0" quotePrefix="1" applyFont="1" applyBorder="1" applyAlignment="1">
      <alignment vertical="center"/>
    </xf>
    <xf numFmtId="0" fontId="10" fillId="0" borderId="13" xfId="0" applyFont="1" applyBorder="1" applyAlignment="1">
      <alignment horizontal="left"/>
    </xf>
    <xf numFmtId="0" fontId="8" fillId="0" borderId="14" xfId="0" applyFont="1" applyBorder="1" applyAlignment="1">
      <alignment horizontal="left"/>
    </xf>
    <xf numFmtId="0" fontId="9" fillId="0" borderId="8" xfId="0" applyFont="1" applyBorder="1" applyAlignment="1">
      <alignment horizontal="center" vertical="center"/>
    </xf>
    <xf numFmtId="0" fontId="11" fillId="0" borderId="8" xfId="0" applyFont="1" applyBorder="1" applyAlignment="1">
      <alignment horizontal="left" vertical="top" wrapText="1"/>
    </xf>
    <xf numFmtId="0" fontId="36" fillId="0" borderId="8" xfId="0" applyFont="1" applyBorder="1"/>
    <xf numFmtId="0" fontId="14" fillId="0" borderId="6" xfId="0" applyFont="1" applyBorder="1" applyAlignment="1">
      <alignment horizontal="center" vertical="center"/>
    </xf>
    <xf numFmtId="0" fontId="20" fillId="0" borderId="6" xfId="0" quotePrefix="1" applyFont="1" applyBorder="1" applyAlignment="1">
      <alignment vertical="center"/>
    </xf>
    <xf numFmtId="0" fontId="20" fillId="0" borderId="6" xfId="0" quotePrefix="1" applyFont="1" applyBorder="1" applyAlignment="1">
      <alignment horizontal="center" vertical="center"/>
    </xf>
    <xf numFmtId="0" fontId="22" fillId="0" borderId="0" xfId="0" applyFont="1" applyAlignment="1">
      <alignment vertical="top" wrapText="1"/>
    </xf>
    <xf numFmtId="0" fontId="45" fillId="0" borderId="8" xfId="0" applyFont="1" applyBorder="1" applyAlignment="1">
      <alignment vertical="top" wrapText="1"/>
    </xf>
    <xf numFmtId="0" fontId="11" fillId="0" borderId="6" xfId="0" applyFont="1" applyBorder="1" applyAlignment="1">
      <alignment horizontal="center" vertical="top"/>
    </xf>
    <xf numFmtId="4" fontId="11" fillId="0" borderId="8" xfId="0" applyNumberFormat="1" applyFont="1" applyBorder="1" applyAlignment="1">
      <alignment horizontal="right" vertical="top"/>
    </xf>
    <xf numFmtId="0" fontId="45" fillId="0" borderId="0" xfId="0" applyFont="1" applyAlignment="1">
      <alignment vertical="top" wrapText="1"/>
    </xf>
    <xf numFmtId="0" fontId="45" fillId="0" borderId="14" xfId="0" applyFont="1" applyBorder="1" applyAlignment="1">
      <alignment vertical="top"/>
    </xf>
    <xf numFmtId="0" fontId="45" fillId="0" borderId="15" xfId="0" applyFont="1" applyBorder="1" applyAlignment="1">
      <alignment vertical="top"/>
    </xf>
    <xf numFmtId="0" fontId="11" fillId="0" borderId="9" xfId="0" applyFont="1" applyBorder="1" applyAlignment="1">
      <alignment horizontal="center" vertical="top"/>
    </xf>
    <xf numFmtId="4" fontId="11" fillId="0" borderId="15" xfId="0" applyNumberFormat="1" applyFont="1" applyBorder="1" applyAlignment="1">
      <alignment horizontal="right" vertical="top"/>
    </xf>
    <xf numFmtId="0" fontId="20" fillId="0" borderId="0" xfId="0" quotePrefix="1" applyFont="1"/>
    <xf numFmtId="0" fontId="20" fillId="0" borderId="15" xfId="0" quotePrefix="1" applyFont="1" applyBorder="1"/>
    <xf numFmtId="0" fontId="46" fillId="2" borderId="0" xfId="0" applyFont="1" applyFill="1" applyAlignment="1">
      <alignment vertical="center"/>
    </xf>
    <xf numFmtId="0" fontId="29" fillId="0" borderId="11" xfId="0" applyFont="1" applyBorder="1" applyAlignment="1">
      <alignment horizontal="center" vertical="center"/>
    </xf>
    <xf numFmtId="0" fontId="46" fillId="3" borderId="11" xfId="0" applyFont="1" applyFill="1" applyBorder="1" applyAlignment="1">
      <alignment vertical="center"/>
    </xf>
    <xf numFmtId="4" fontId="8" fillId="0" borderId="11" xfId="0" applyNumberFormat="1" applyFont="1" applyBorder="1" applyAlignment="1">
      <alignment horizontal="right" vertical="center"/>
    </xf>
    <xf numFmtId="0" fontId="46" fillId="3" borderId="11" xfId="0" applyFont="1" applyFill="1" applyBorder="1" applyAlignment="1">
      <alignment horizontal="center" vertical="center"/>
    </xf>
    <xf numFmtId="0" fontId="8" fillId="0" borderId="11" xfId="0" applyFont="1" applyBorder="1" applyAlignment="1">
      <alignment horizontal="center" vertical="center"/>
    </xf>
    <xf numFmtId="4" fontId="9" fillId="0" borderId="8" xfId="0" applyNumberFormat="1" applyFont="1" applyBorder="1"/>
    <xf numFmtId="0" fontId="20" fillId="2" borderId="0" xfId="0" applyFont="1" applyFill="1" applyAlignment="1">
      <alignment vertical="center"/>
    </xf>
    <xf numFmtId="0" fontId="9" fillId="0" borderId="6" xfId="0" applyFont="1" applyBorder="1" applyAlignment="1">
      <alignment horizontal="left" vertical="top" wrapText="1"/>
    </xf>
    <xf numFmtId="0" fontId="20" fillId="0" borderId="6" xfId="0" quotePrefix="1" applyFont="1" applyBorder="1"/>
    <xf numFmtId="0" fontId="47" fillId="0" borderId="0" xfId="0" applyFont="1"/>
    <xf numFmtId="0" fontId="36" fillId="0" borderId="8" xfId="0" quotePrefix="1" applyFont="1" applyBorder="1"/>
    <xf numFmtId="0" fontId="36" fillId="0" borderId="6" xfId="0" quotePrefix="1" applyFont="1" applyBorder="1" applyAlignment="1">
      <alignment vertical="center"/>
    </xf>
    <xf numFmtId="0" fontId="9" fillId="0" borderId="6" xfId="0" applyFont="1" applyBorder="1" applyAlignment="1">
      <alignment horizontal="left" vertical="center" wrapText="1"/>
    </xf>
    <xf numFmtId="0" fontId="11" fillId="0" borderId="8" xfId="0" applyFont="1" applyBorder="1" applyAlignment="1">
      <alignment horizontal="left" vertical="center" wrapText="1"/>
    </xf>
    <xf numFmtId="0" fontId="49" fillId="3" borderId="6" xfId="0" applyFont="1" applyFill="1" applyBorder="1"/>
    <xf numFmtId="0" fontId="8" fillId="0" borderId="8" xfId="0" applyFont="1" applyBorder="1" applyAlignment="1">
      <alignment horizontal="center"/>
    </xf>
    <xf numFmtId="0" fontId="49" fillId="3" borderId="6" xfId="0" applyFont="1" applyFill="1" applyBorder="1" applyAlignment="1">
      <alignment horizontal="center"/>
    </xf>
    <xf numFmtId="0" fontId="49" fillId="3" borderId="8" xfId="0" applyFont="1" applyFill="1" applyBorder="1" applyAlignment="1">
      <alignment horizontal="center"/>
    </xf>
    <xf numFmtId="4" fontId="11" fillId="3" borderId="8" xfId="0" applyNumberFormat="1" applyFont="1" applyFill="1" applyBorder="1" applyAlignment="1">
      <alignment horizontal="right"/>
    </xf>
    <xf numFmtId="0" fontId="22" fillId="0" borderId="6" xfId="0" applyFont="1" applyBorder="1" applyAlignment="1">
      <alignment wrapText="1"/>
    </xf>
    <xf numFmtId="4" fontId="11" fillId="0" borderId="8" xfId="0" applyNumberFormat="1" applyFont="1" applyBorder="1" applyAlignment="1">
      <alignment horizontal="right"/>
    </xf>
    <xf numFmtId="0" fontId="20" fillId="0" borderId="8" xfId="0" quotePrefix="1" applyFont="1" applyBorder="1" applyAlignment="1">
      <alignment vertical="center" wrapText="1"/>
    </xf>
    <xf numFmtId="0" fontId="9" fillId="0" borderId="8" xfId="0" applyFont="1" applyBorder="1" applyAlignment="1">
      <alignment horizontal="left" vertical="center"/>
    </xf>
    <xf numFmtId="0" fontId="11" fillId="0" borderId="6" xfId="0" applyFont="1" applyBorder="1" applyAlignment="1">
      <alignment horizontal="left" vertical="center"/>
    </xf>
    <xf numFmtId="0" fontId="11" fillId="0" borderId="9" xfId="0" applyFont="1" applyBorder="1" applyAlignment="1">
      <alignment horizontal="left" vertical="center" wrapText="1"/>
    </xf>
    <xf numFmtId="0" fontId="11" fillId="0" borderId="9" xfId="0" applyFont="1" applyBorder="1" applyAlignment="1">
      <alignment horizontal="center" vertical="center"/>
    </xf>
    <xf numFmtId="4" fontId="9" fillId="0" borderId="12" xfId="0" applyNumberFormat="1" applyFont="1" applyBorder="1"/>
    <xf numFmtId="0" fontId="20" fillId="0" borderId="6" xfId="0" quotePrefix="1" applyFont="1" applyBorder="1" applyAlignment="1">
      <alignment horizontal="left" vertical="center"/>
    </xf>
    <xf numFmtId="0" fontId="20" fillId="0" borderId="8" xfId="0" quotePrefix="1" applyFont="1" applyBorder="1" applyAlignment="1">
      <alignment horizontal="left" vertical="center"/>
    </xf>
    <xf numFmtId="0" fontId="11" fillId="0" borderId="12" xfId="0" applyFont="1" applyBorder="1" applyAlignment="1">
      <alignment horizontal="center" vertical="center"/>
    </xf>
    <xf numFmtId="0" fontId="36" fillId="0" borderId="4" xfId="0" quotePrefix="1" applyFont="1" applyBorder="1" applyAlignment="1">
      <alignment horizontal="left" vertical="center"/>
    </xf>
    <xf numFmtId="0" fontId="11" fillId="0" borderId="4" xfId="0" applyFont="1" applyBorder="1" applyAlignment="1">
      <alignment horizontal="center" vertical="center"/>
    </xf>
    <xf numFmtId="4" fontId="11" fillId="0" borderId="12" xfId="0" applyNumberFormat="1" applyFont="1" applyBorder="1" applyAlignment="1">
      <alignment horizontal="right" vertical="center"/>
    </xf>
    <xf numFmtId="0" fontId="50" fillId="0" borderId="0" xfId="0" applyFont="1"/>
    <xf numFmtId="0" fontId="27" fillId="0" borderId="8" xfId="0" quotePrefix="1" applyFont="1" applyBorder="1" applyAlignment="1">
      <alignment horizontal="center" vertical="center"/>
    </xf>
    <xf numFmtId="4" fontId="11" fillId="0" borderId="7" xfId="0" applyNumberFormat="1" applyFont="1" applyBorder="1"/>
    <xf numFmtId="0" fontId="49" fillId="3" borderId="10" xfId="0" applyFont="1" applyFill="1" applyBorder="1" applyAlignment="1">
      <alignment vertical="center"/>
    </xf>
    <xf numFmtId="0" fontId="49" fillId="3" borderId="3" xfId="0" applyFont="1" applyFill="1" applyBorder="1" applyAlignment="1">
      <alignment vertical="center"/>
    </xf>
    <xf numFmtId="0" fontId="49" fillId="3" borderId="7" xfId="0" applyFont="1" applyFill="1" applyBorder="1" applyAlignment="1">
      <alignment vertical="center"/>
    </xf>
    <xf numFmtId="0" fontId="49" fillId="3" borderId="5" xfId="0" applyFont="1" applyFill="1" applyBorder="1" applyAlignment="1">
      <alignment vertical="center"/>
    </xf>
    <xf numFmtId="0" fontId="49" fillId="3" borderId="8" xfId="0" applyFont="1" applyFill="1" applyBorder="1" applyAlignment="1">
      <alignment horizontal="center" vertical="center"/>
    </xf>
    <xf numFmtId="0" fontId="49" fillId="3" borderId="11" xfId="0" applyFont="1" applyFill="1" applyBorder="1" applyAlignment="1">
      <alignment horizontal="center" vertical="center"/>
    </xf>
    <xf numFmtId="0" fontId="49" fillId="3" borderId="12" xfId="0" applyFont="1" applyFill="1" applyBorder="1" applyAlignment="1">
      <alignment horizontal="center" vertical="center"/>
    </xf>
    <xf numFmtId="0" fontId="49" fillId="3" borderId="15" xfId="0" applyFont="1" applyFill="1" applyBorder="1" applyAlignment="1">
      <alignment horizontal="center" vertical="center"/>
    </xf>
    <xf numFmtId="0" fontId="49" fillId="3" borderId="11" xfId="0" applyFont="1" applyFill="1" applyBorder="1" applyAlignment="1">
      <alignment vertical="center"/>
    </xf>
    <xf numFmtId="0" fontId="11" fillId="0" borderId="11" xfId="0" applyFont="1" applyBorder="1" applyAlignment="1">
      <alignment horizontal="center" vertical="center"/>
    </xf>
    <xf numFmtId="4" fontId="11" fillId="0" borderId="11" xfId="0" applyNumberFormat="1" applyFont="1" applyBorder="1" applyAlignment="1">
      <alignment horizontal="right" vertical="center"/>
    </xf>
    <xf numFmtId="0" fontId="49" fillId="3" borderId="5" xfId="0" applyFont="1" applyFill="1" applyBorder="1" applyAlignment="1">
      <alignment horizontal="center" vertical="center"/>
    </xf>
    <xf numFmtId="0" fontId="49" fillId="3" borderId="1" xfId="0" applyFont="1" applyFill="1" applyBorder="1" applyAlignment="1">
      <alignment horizontal="center" vertical="center"/>
    </xf>
    <xf numFmtId="0" fontId="49" fillId="3" borderId="2" xfId="0" applyFont="1" applyFill="1" applyBorder="1" applyAlignment="1">
      <alignment vertical="center"/>
    </xf>
    <xf numFmtId="0" fontId="51" fillId="0" borderId="0" xfId="0" applyFont="1"/>
    <xf numFmtId="0" fontId="8" fillId="0" borderId="1" xfId="0" applyFont="1" applyBorder="1" applyAlignment="1">
      <alignment vertical="center" wrapText="1"/>
    </xf>
    <xf numFmtId="0" fontId="11" fillId="0" borderId="8" xfId="0" applyFont="1" applyBorder="1" applyAlignment="1">
      <alignment vertical="top" wrapText="1"/>
    </xf>
    <xf numFmtId="0" fontId="13" fillId="0" borderId="5" xfId="0" applyFont="1" applyBorder="1" applyAlignment="1">
      <alignment horizontal="left" vertical="center"/>
    </xf>
    <xf numFmtId="0" fontId="11" fillId="0" borderId="7" xfId="0" applyFont="1" applyBorder="1" applyAlignment="1">
      <alignment horizontal="left" vertical="center" wrapText="1"/>
    </xf>
    <xf numFmtId="0" fontId="8" fillId="0" borderId="10" xfId="0" applyFont="1" applyBorder="1" applyAlignment="1">
      <alignment horizontal="left" vertical="center"/>
    </xf>
    <xf numFmtId="0" fontId="11" fillId="0" borderId="0" xfId="0" applyFont="1"/>
    <xf numFmtId="0" fontId="20" fillId="0" borderId="8" xfId="0" quotePrefix="1" applyFont="1" applyBorder="1" applyAlignment="1">
      <alignment horizontal="left"/>
    </xf>
    <xf numFmtId="4" fontId="11" fillId="0" borderId="10" xfId="0" applyNumberFormat="1" applyFont="1" applyBorder="1"/>
    <xf numFmtId="0" fontId="43" fillId="0" borderId="6" xfId="0" quotePrefix="1" applyFont="1" applyBorder="1"/>
    <xf numFmtId="0" fontId="10" fillId="0" borderId="12" xfId="0" applyFont="1" applyBorder="1" applyAlignment="1">
      <alignment horizontal="center" vertical="center"/>
    </xf>
    <xf numFmtId="0" fontId="43" fillId="0" borderId="15" xfId="0" applyFont="1" applyBorder="1"/>
    <xf numFmtId="0" fontId="41" fillId="0" borderId="8" xfId="0" applyFont="1" applyBorder="1" applyAlignment="1">
      <alignment horizontal="center" vertical="top" wrapText="1"/>
    </xf>
    <xf numFmtId="0" fontId="42" fillId="0" borderId="8" xfId="0" applyFont="1" applyBorder="1" applyAlignment="1">
      <alignment horizontal="center" vertical="top"/>
    </xf>
    <xf numFmtId="0" fontId="11" fillId="0" borderId="6" xfId="0" quotePrefix="1" applyFont="1" applyBorder="1" applyAlignment="1">
      <alignment horizontal="left" vertical="center" wrapText="1"/>
    </xf>
    <xf numFmtId="0" fontId="27" fillId="0" borderId="0" xfId="0" applyFont="1" applyAlignment="1">
      <alignment horizontal="center" vertical="center"/>
    </xf>
    <xf numFmtId="0" fontId="36" fillId="0" borderId="6" xfId="0" quotePrefix="1" applyFont="1" applyBorder="1" applyAlignment="1">
      <alignment horizontal="left" vertical="center"/>
    </xf>
    <xf numFmtId="0" fontId="11" fillId="0" borderId="4" xfId="0" applyFont="1" applyBorder="1" applyAlignment="1">
      <alignment horizontal="left" vertical="center" wrapText="1"/>
    </xf>
    <xf numFmtId="0" fontId="11" fillId="0" borderId="0" xfId="0" applyFont="1" applyAlignment="1">
      <alignment horizontal="center"/>
    </xf>
    <xf numFmtId="4" fontId="11" fillId="0" borderId="7" xfId="0" applyNumberFormat="1" applyFont="1" applyBorder="1" applyAlignment="1">
      <alignment horizontal="center"/>
    </xf>
    <xf numFmtId="0" fontId="20" fillId="0" borderId="0" xfId="0" applyFont="1" applyAlignment="1">
      <alignment wrapText="1"/>
    </xf>
    <xf numFmtId="0" fontId="20" fillId="0" borderId="0" xfId="0" applyFont="1" applyAlignment="1">
      <alignment vertical="center" wrapText="1"/>
    </xf>
    <xf numFmtId="0" fontId="9" fillId="0" borderId="8" xfId="0" applyFont="1" applyBorder="1" applyAlignment="1">
      <alignment horizontal="left" vertical="center" wrapText="1"/>
    </xf>
    <xf numFmtId="0" fontId="20" fillId="0" borderId="9" xfId="0" quotePrefix="1" applyFont="1" applyBorder="1" applyAlignment="1">
      <alignment vertical="center"/>
    </xf>
    <xf numFmtId="0" fontId="20" fillId="0" borderId="4" xfId="0" quotePrefix="1" applyFont="1" applyBorder="1" applyAlignment="1">
      <alignment vertical="center"/>
    </xf>
    <xf numFmtId="0" fontId="55" fillId="0" borderId="0" xfId="9" applyFont="1" applyAlignment="1">
      <alignment wrapText="1"/>
    </xf>
    <xf numFmtId="0" fontId="36" fillId="0" borderId="8" xfId="0" quotePrefix="1" applyFont="1" applyBorder="1" applyAlignment="1">
      <alignment vertical="center"/>
    </xf>
    <xf numFmtId="0" fontId="0" fillId="0" borderId="8" xfId="0" applyBorder="1" applyAlignment="1">
      <alignment horizontal="left"/>
    </xf>
    <xf numFmtId="0" fontId="11" fillId="0" borderId="6" xfId="0" applyFont="1" applyBorder="1" applyAlignment="1">
      <alignment horizontal="center"/>
    </xf>
    <xf numFmtId="0" fontId="11" fillId="0" borderId="0" xfId="0" applyFont="1" applyAlignment="1">
      <alignment horizontal="center"/>
    </xf>
    <xf numFmtId="0" fontId="11" fillId="0" borderId="7" xfId="0" applyFont="1" applyBorder="1" applyAlignment="1">
      <alignment horizontal="center"/>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9" fillId="0" borderId="1" xfId="0" applyFont="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9" fillId="0" borderId="9" xfId="0" applyFont="1" applyBorder="1" applyAlignment="1">
      <alignment horizontal="center"/>
    </xf>
    <xf numFmtId="0" fontId="9" fillId="0" borderId="14" xfId="0" applyFont="1" applyBorder="1" applyAlignment="1">
      <alignment horizontal="center"/>
    </xf>
    <xf numFmtId="0" fontId="9" fillId="0" borderId="10" xfId="0" applyFont="1" applyBorder="1" applyAlignment="1">
      <alignment horizontal="center"/>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0" fillId="0" borderId="4" xfId="0" applyFont="1" applyBorder="1" applyAlignment="1">
      <alignment horizontal="left"/>
    </xf>
    <xf numFmtId="0" fontId="10" fillId="0" borderId="13" xfId="0" applyFont="1" applyBorder="1" applyAlignment="1">
      <alignment horizontal="left"/>
    </xf>
    <xf numFmtId="0" fontId="8" fillId="0" borderId="4" xfId="0" applyFont="1" applyBorder="1" applyAlignment="1">
      <alignment horizontal="left"/>
    </xf>
    <xf numFmtId="0" fontId="8" fillId="0" borderId="13" xfId="0" applyFont="1" applyBorder="1" applyAlignment="1">
      <alignment horizontal="left"/>
    </xf>
    <xf numFmtId="0" fontId="8" fillId="0" borderId="5" xfId="0" applyFont="1" applyBorder="1" applyAlignment="1">
      <alignment horizontal="left"/>
    </xf>
    <xf numFmtId="0" fontId="9" fillId="0" borderId="4" xfId="0" applyFont="1" applyBorder="1" applyAlignment="1">
      <alignment horizontal="center"/>
    </xf>
    <xf numFmtId="0" fontId="9" fillId="0" borderId="13" xfId="0" applyFont="1" applyBorder="1" applyAlignment="1">
      <alignment horizontal="center"/>
    </xf>
    <xf numFmtId="0" fontId="9" fillId="0" borderId="5" xfId="0" applyFont="1" applyBorder="1" applyAlignment="1">
      <alignment horizontal="center"/>
    </xf>
    <xf numFmtId="0" fontId="9" fillId="0" borderId="9" xfId="0" applyFont="1" applyBorder="1" applyAlignment="1">
      <alignment horizontal="center" wrapText="1"/>
    </xf>
    <xf numFmtId="0" fontId="9" fillId="0" borderId="14" xfId="0" applyFont="1" applyBorder="1" applyAlignment="1">
      <alignment horizontal="center" wrapText="1"/>
    </xf>
    <xf numFmtId="0" fontId="9" fillId="0" borderId="10" xfId="0" applyFont="1" applyBorder="1" applyAlignment="1">
      <alignment horizontal="center" wrapText="1"/>
    </xf>
    <xf numFmtId="0" fontId="10" fillId="0" borderId="6" xfId="0" applyFont="1" applyBorder="1" applyAlignment="1">
      <alignment horizontal="left"/>
    </xf>
    <xf numFmtId="0" fontId="8" fillId="0" borderId="0" xfId="0" applyFont="1" applyAlignment="1">
      <alignment horizontal="left"/>
    </xf>
    <xf numFmtId="0" fontId="8" fillId="0" borderId="6" xfId="0" applyFont="1" applyBorder="1" applyAlignment="1">
      <alignment horizontal="left"/>
    </xf>
    <xf numFmtId="0" fontId="8" fillId="0" borderId="7" xfId="0" applyFont="1" applyBorder="1" applyAlignment="1">
      <alignment horizontal="left"/>
    </xf>
    <xf numFmtId="0" fontId="8" fillId="0" borderId="6" xfId="0" applyFont="1" applyBorder="1"/>
    <xf numFmtId="0" fontId="8" fillId="0" borderId="7" xfId="0" applyFont="1" applyBorder="1"/>
    <xf numFmtId="0" fontId="8" fillId="0" borderId="0" xfId="0" applyFont="1"/>
    <xf numFmtId="0" fontId="8" fillId="0" borderId="9" xfId="0" applyFont="1" applyBorder="1" applyAlignment="1">
      <alignment horizontal="left"/>
    </xf>
    <xf numFmtId="0" fontId="8" fillId="0" borderId="14" xfId="0" applyFont="1" applyBorder="1" applyAlignment="1">
      <alignment horizontal="left"/>
    </xf>
    <xf numFmtId="0" fontId="8" fillId="0" borderId="10" xfId="0" applyFont="1" applyBorder="1" applyAlignment="1">
      <alignment horizontal="left"/>
    </xf>
    <xf numFmtId="0" fontId="9" fillId="0" borderId="6" xfId="0" applyFont="1" applyBorder="1" applyAlignment="1">
      <alignment horizontal="center"/>
    </xf>
    <xf numFmtId="0" fontId="9" fillId="0" borderId="0" xfId="0" applyFont="1" applyAlignment="1">
      <alignment horizontal="center"/>
    </xf>
    <xf numFmtId="0" fontId="9" fillId="0" borderId="7" xfId="0" applyFont="1" applyBorder="1" applyAlignment="1">
      <alignment horizont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1" fillId="0" borderId="4" xfId="0" applyFont="1" applyBorder="1" applyAlignment="1">
      <alignment horizontal="center"/>
    </xf>
    <xf numFmtId="0" fontId="11" fillId="0" borderId="13" xfId="0" applyFont="1" applyBorder="1" applyAlignment="1">
      <alignment horizontal="center"/>
    </xf>
    <xf numFmtId="0" fontId="11" fillId="0" borderId="5" xfId="0" applyFont="1" applyBorder="1" applyAlignment="1">
      <alignment horizontal="center"/>
    </xf>
    <xf numFmtId="0" fontId="11" fillId="0" borderId="9" xfId="0" applyFont="1" applyBorder="1" applyAlignment="1">
      <alignment horizontal="center" wrapText="1"/>
    </xf>
    <xf numFmtId="0" fontId="11" fillId="0" borderId="14" xfId="0" applyFont="1" applyBorder="1" applyAlignment="1">
      <alignment horizontal="center" wrapText="1"/>
    </xf>
    <xf numFmtId="0" fontId="11" fillId="0" borderId="10" xfId="0" applyFont="1" applyBorder="1" applyAlignment="1">
      <alignment horizontal="center" wrapText="1"/>
    </xf>
    <xf numFmtId="0" fontId="11" fillId="0" borderId="6" xfId="0" applyFont="1" applyBorder="1" applyAlignment="1">
      <alignment horizontal="left"/>
    </xf>
    <xf numFmtId="0" fontId="11" fillId="0" borderId="7" xfId="0" applyFont="1" applyBorder="1" applyAlignment="1">
      <alignment horizontal="left"/>
    </xf>
    <xf numFmtId="0" fontId="11" fillId="0" borderId="0" xfId="0" applyFont="1" applyAlignment="1">
      <alignment horizontal="left"/>
    </xf>
    <xf numFmtId="0" fontId="11" fillId="0" borderId="9" xfId="0" applyFont="1" applyBorder="1" applyAlignment="1">
      <alignment horizontal="left"/>
    </xf>
    <xf numFmtId="0" fontId="11" fillId="0" borderId="10" xfId="0" applyFont="1" applyBorder="1" applyAlignment="1">
      <alignment horizontal="left"/>
    </xf>
    <xf numFmtId="0" fontId="11" fillId="0" borderId="14" xfId="0" applyFont="1" applyBorder="1" applyAlignment="1">
      <alignment horizontal="left"/>
    </xf>
    <xf numFmtId="0" fontId="11" fillId="0" borderId="9" xfId="0" applyFont="1" applyBorder="1" applyAlignment="1">
      <alignment horizontal="center"/>
    </xf>
    <xf numFmtId="0" fontId="11" fillId="0" borderId="14" xfId="0" applyFont="1" applyBorder="1" applyAlignment="1">
      <alignment horizontal="center"/>
    </xf>
    <xf numFmtId="0" fontId="11" fillId="0" borderId="10" xfId="0" applyFont="1" applyBorder="1" applyAlignment="1">
      <alignment horizontal="center"/>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11" fillId="0" borderId="4" xfId="0" applyFont="1" applyBorder="1" applyAlignment="1">
      <alignment horizontal="left"/>
    </xf>
    <xf numFmtId="0" fontId="11" fillId="0" borderId="5" xfId="0" applyFont="1" applyBorder="1" applyAlignment="1">
      <alignment horizontal="left"/>
    </xf>
    <xf numFmtId="0" fontId="11" fillId="0" borderId="13" xfId="0" applyFont="1" applyBorder="1" applyAlignment="1">
      <alignment horizontal="left"/>
    </xf>
    <xf numFmtId="0" fontId="39" fillId="0" borderId="2" xfId="0" applyFont="1" applyBorder="1" applyAlignment="1">
      <alignment horizontal="center" vertical="center" wrapText="1"/>
    </xf>
    <xf numFmtId="0" fontId="26" fillId="0" borderId="2" xfId="0" applyFont="1" applyBorder="1" applyAlignment="1">
      <alignment horizontal="center" vertical="top" wrapText="1"/>
    </xf>
    <xf numFmtId="0" fontId="26" fillId="0" borderId="3" xfId="0" applyFont="1" applyBorder="1" applyAlignment="1">
      <alignment horizontal="center" vertical="top" wrapText="1"/>
    </xf>
    <xf numFmtId="0" fontId="9" fillId="0" borderId="4" xfId="0" applyFont="1" applyBorder="1" applyAlignment="1">
      <alignment horizontal="left"/>
    </xf>
    <xf numFmtId="0" fontId="9" fillId="0" borderId="13" xfId="0" applyFont="1" applyBorder="1" applyAlignment="1">
      <alignment horizontal="left"/>
    </xf>
    <xf numFmtId="0" fontId="8" fillId="0" borderId="9" xfId="0" applyFont="1" applyBorder="1"/>
    <xf numFmtId="0" fontId="8" fillId="0" borderId="14" xfId="0" applyFont="1" applyBorder="1"/>
    <xf numFmtId="0" fontId="13" fillId="0" borderId="4" xfId="0" applyFont="1" applyBorder="1" applyAlignment="1">
      <alignment horizontal="left" vertical="center"/>
    </xf>
    <xf numFmtId="0" fontId="13" fillId="0" borderId="5" xfId="0" applyFont="1" applyBorder="1" applyAlignment="1">
      <alignment horizontal="left" vertical="center"/>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8" fillId="0" borderId="9" xfId="0" applyFont="1" applyBorder="1" applyAlignment="1">
      <alignment horizontal="left" vertical="center"/>
    </xf>
    <xf numFmtId="0" fontId="8" fillId="0" borderId="10" xfId="0" applyFont="1" applyBorder="1" applyAlignment="1">
      <alignment horizontal="left" vertical="center"/>
    </xf>
    <xf numFmtId="0" fontId="13" fillId="0" borderId="12" xfId="0" applyFont="1" applyBorder="1" applyAlignment="1">
      <alignment horizontal="left" vertical="center" wrapText="1"/>
    </xf>
    <xf numFmtId="0" fontId="13" fillId="0" borderId="8" xfId="0" applyFont="1" applyBorder="1" applyAlignment="1">
      <alignment horizontal="left" vertical="center" wrapText="1"/>
    </xf>
    <xf numFmtId="0" fontId="8" fillId="0" borderId="6" xfId="0" applyFont="1" applyBorder="1" applyAlignment="1">
      <alignment horizontal="center"/>
    </xf>
    <xf numFmtId="0" fontId="8" fillId="0" borderId="0" xfId="0" applyFont="1" applyAlignment="1">
      <alignment horizontal="center"/>
    </xf>
    <xf numFmtId="0" fontId="8" fillId="0" borderId="7" xfId="0" applyFont="1" applyBorder="1" applyAlignment="1">
      <alignment horizontal="center"/>
    </xf>
    <xf numFmtId="0" fontId="10" fillId="0" borderId="9" xfId="0" applyFont="1" applyBorder="1" applyAlignment="1">
      <alignment horizontal="center"/>
    </xf>
    <xf numFmtId="0" fontId="10" fillId="0" borderId="14" xfId="0" applyFont="1" applyBorder="1" applyAlignment="1">
      <alignment horizontal="center"/>
    </xf>
    <xf numFmtId="0" fontId="10" fillId="0" borderId="10" xfId="0" applyFont="1" applyBorder="1" applyAlignment="1">
      <alignment horizontal="center"/>
    </xf>
    <xf numFmtId="0" fontId="13" fillId="0" borderId="12" xfId="0" applyFont="1" applyBorder="1" applyAlignment="1">
      <alignment horizontal="center" vertical="center" wrapText="1"/>
    </xf>
    <xf numFmtId="0" fontId="13" fillId="0" borderId="8" xfId="0" applyFont="1" applyBorder="1" applyAlignment="1">
      <alignment horizontal="center" vertical="center" wrapText="1"/>
    </xf>
    <xf numFmtId="0" fontId="56" fillId="0" borderId="0" xfId="0" applyFont="1"/>
    <xf numFmtId="0" fontId="57" fillId="0" borderId="1" xfId="0" applyFont="1" applyBorder="1" applyAlignment="1">
      <alignment horizontal="center" vertical="center" wrapText="1"/>
    </xf>
    <xf numFmtId="0" fontId="57" fillId="0" borderId="2" xfId="0" applyFont="1" applyBorder="1" applyAlignment="1">
      <alignment horizontal="center" vertical="center" wrapText="1"/>
    </xf>
    <xf numFmtId="0" fontId="57" fillId="0" borderId="3" xfId="0" applyFont="1" applyBorder="1" applyAlignment="1">
      <alignment horizontal="center" vertical="center" wrapText="1"/>
    </xf>
    <xf numFmtId="0" fontId="58" fillId="0" borderId="12" xfId="0" applyFont="1" applyBorder="1" applyAlignment="1">
      <alignment horizontal="center" vertical="top" wrapText="1"/>
    </xf>
    <xf numFmtId="0" fontId="59" fillId="0" borderId="4" xfId="0" applyFont="1" applyBorder="1" applyAlignment="1">
      <alignment horizontal="left" vertical="center"/>
    </xf>
    <xf numFmtId="0" fontId="60" fillId="0" borderId="1" xfId="0" applyFont="1" applyBorder="1" applyAlignment="1">
      <alignment horizontal="left" vertical="center"/>
    </xf>
    <xf numFmtId="0" fontId="60" fillId="0" borderId="2" xfId="0" applyFont="1" applyBorder="1" applyAlignment="1">
      <alignment horizontal="left" vertical="center"/>
    </xf>
    <xf numFmtId="0" fontId="60" fillId="0" borderId="3" xfId="0" applyFont="1" applyBorder="1" applyAlignment="1">
      <alignment horizontal="left" vertical="center"/>
    </xf>
    <xf numFmtId="0" fontId="58" fillId="0" borderId="8" xfId="0" applyFont="1" applyBorder="1" applyAlignment="1">
      <alignment horizontal="center" vertical="center"/>
    </xf>
    <xf numFmtId="0" fontId="61" fillId="0" borderId="0" xfId="9" applyFont="1" applyAlignment="1">
      <alignment wrapText="1"/>
    </xf>
    <xf numFmtId="0" fontId="56" fillId="0" borderId="15" xfId="0" applyFont="1" applyBorder="1" applyAlignment="1">
      <alignment horizontal="center" vertical="center"/>
    </xf>
    <xf numFmtId="0" fontId="56" fillId="0" borderId="9" xfId="0" applyFont="1" applyBorder="1" applyAlignment="1">
      <alignment horizontal="left" vertical="center"/>
    </xf>
    <xf numFmtId="0" fontId="58" fillId="0" borderId="1" xfId="0" applyFont="1" applyBorder="1" applyAlignment="1">
      <alignment horizontal="left" vertical="center" wrapText="1"/>
    </xf>
    <xf numFmtId="0" fontId="58" fillId="0" borderId="2" xfId="0" applyFont="1" applyBorder="1" applyAlignment="1">
      <alignment horizontal="left" vertical="center" wrapText="1"/>
    </xf>
    <xf numFmtId="0" fontId="58" fillId="0" borderId="3" xfId="0" applyFont="1" applyBorder="1" applyAlignment="1">
      <alignment horizontal="left" vertical="center" wrapText="1"/>
    </xf>
    <xf numFmtId="0" fontId="62" fillId="0" borderId="11" xfId="0" applyFont="1" applyBorder="1" applyAlignment="1">
      <alignment horizontal="center" vertical="center"/>
    </xf>
    <xf numFmtId="0" fontId="63" fillId="0" borderId="0" xfId="0" applyFont="1"/>
    <xf numFmtId="0" fontId="56" fillId="0" borderId="8" xfId="0" applyFont="1" applyBorder="1" applyAlignment="1">
      <alignment horizontal="center" vertical="center"/>
    </xf>
    <xf numFmtId="0" fontId="64" fillId="0" borderId="8" xfId="0" quotePrefix="1" applyFont="1" applyBorder="1" applyAlignment="1">
      <alignment horizontal="center"/>
    </xf>
    <xf numFmtId="0" fontId="62" fillId="0" borderId="6" xfId="0" applyFont="1" applyBorder="1" applyAlignment="1">
      <alignment horizontal="center" vertical="center"/>
    </xf>
    <xf numFmtId="0" fontId="62" fillId="0" borderId="8" xfId="0" applyFont="1" applyBorder="1" applyAlignment="1">
      <alignment horizontal="center" vertical="center"/>
    </xf>
    <xf numFmtId="0" fontId="65" fillId="0" borderId="0" xfId="0" applyFont="1"/>
    <xf numFmtId="0" fontId="58" fillId="0" borderId="6" xfId="0" applyFont="1" applyBorder="1" applyAlignment="1">
      <alignment horizontal="center" vertical="center"/>
    </xf>
    <xf numFmtId="4" fontId="58" fillId="0" borderId="8" xfId="0" applyNumberFormat="1" applyFont="1" applyBorder="1" applyAlignment="1">
      <alignment horizontal="right" vertical="center"/>
    </xf>
    <xf numFmtId="0" fontId="65" fillId="0" borderId="0" xfId="0" applyFont="1" applyAlignment="1">
      <alignment vertical="center"/>
    </xf>
    <xf numFmtId="0" fontId="65" fillId="0" borderId="0" xfId="0" applyFont="1" applyAlignment="1">
      <alignment vertical="center" wrapText="1"/>
    </xf>
    <xf numFmtId="0" fontId="58" fillId="0" borderId="6" xfId="0" applyFont="1" applyBorder="1" applyAlignment="1">
      <alignment horizontal="left" vertical="center" wrapText="1"/>
    </xf>
    <xf numFmtId="0" fontId="58" fillId="0" borderId="15" xfId="0" applyFont="1" applyBorder="1" applyAlignment="1">
      <alignment horizontal="center" vertical="center"/>
    </xf>
    <xf numFmtId="0" fontId="65" fillId="0" borderId="15" xfId="0" quotePrefix="1" applyFont="1" applyBorder="1"/>
    <xf numFmtId="0" fontId="58" fillId="0" borderId="9" xfId="0" applyFont="1" applyBorder="1" applyAlignment="1">
      <alignment horizontal="center"/>
    </xf>
    <xf numFmtId="4" fontId="58" fillId="0" borderId="15" xfId="0" applyNumberFormat="1" applyFont="1" applyBorder="1" applyAlignment="1">
      <alignment horizontal="center"/>
    </xf>
    <xf numFmtId="4" fontId="58" fillId="0" borderId="15" xfId="0" applyNumberFormat="1" applyFont="1" applyBorder="1" applyAlignment="1">
      <alignment horizontal="right" vertical="center"/>
    </xf>
    <xf numFmtId="0" fontId="58" fillId="0" borderId="6" xfId="0" applyFont="1" applyBorder="1" applyAlignment="1">
      <alignment horizontal="center"/>
    </xf>
    <xf numFmtId="0" fontId="58" fillId="0" borderId="0" xfId="0" applyFont="1" applyAlignment="1">
      <alignment horizontal="center"/>
    </xf>
    <xf numFmtId="0" fontId="58" fillId="0" borderId="7" xfId="0" applyFont="1" applyBorder="1" applyAlignment="1">
      <alignment horizontal="center"/>
    </xf>
    <xf numFmtId="4" fontId="58" fillId="0" borderId="8" xfId="0" applyNumberFormat="1" applyFont="1" applyBorder="1"/>
    <xf numFmtId="0" fontId="60" fillId="0" borderId="9" xfId="0" applyFont="1" applyBorder="1" applyAlignment="1">
      <alignment horizontal="center"/>
    </xf>
    <xf numFmtId="0" fontId="60" fillId="0" borderId="14" xfId="0" applyFont="1" applyBorder="1" applyAlignment="1">
      <alignment horizontal="center"/>
    </xf>
    <xf numFmtId="0" fontId="60" fillId="0" borderId="10" xfId="0" applyFont="1" applyBorder="1" applyAlignment="1">
      <alignment horizontal="center"/>
    </xf>
    <xf numFmtId="4" fontId="60" fillId="0" borderId="10" xfId="0" applyNumberFormat="1" applyFont="1" applyBorder="1"/>
    <xf numFmtId="0" fontId="59" fillId="0" borderId="1" xfId="0" applyFont="1" applyBorder="1" applyAlignment="1">
      <alignment horizontal="left" vertical="center" wrapText="1"/>
    </xf>
    <xf numFmtId="0" fontId="59" fillId="0" borderId="2" xfId="0" applyFont="1" applyBorder="1" applyAlignment="1">
      <alignment horizontal="left" vertical="center" wrapText="1"/>
    </xf>
    <xf numFmtId="0" fontId="59" fillId="0" borderId="3" xfId="0" applyFont="1" applyBorder="1" applyAlignment="1">
      <alignment horizontal="left" vertical="center" wrapText="1"/>
    </xf>
    <xf numFmtId="0" fontId="62" fillId="0" borderId="4" xfId="0" applyFont="1" applyBorder="1" applyAlignment="1">
      <alignment horizontal="left"/>
    </xf>
    <xf numFmtId="0" fontId="62" fillId="0" borderId="13" xfId="0" applyFont="1" applyBorder="1" applyAlignment="1">
      <alignment horizontal="left"/>
    </xf>
    <xf numFmtId="0" fontId="56" fillId="0" borderId="4" xfId="0" applyFont="1" applyBorder="1" applyAlignment="1">
      <alignment horizontal="left"/>
    </xf>
    <xf numFmtId="0" fontId="56" fillId="0" borderId="13" xfId="0" applyFont="1" applyBorder="1" applyAlignment="1">
      <alignment horizontal="left"/>
    </xf>
    <xf numFmtId="0" fontId="56" fillId="0" borderId="5" xfId="0" applyFont="1" applyBorder="1" applyAlignment="1">
      <alignment horizontal="left"/>
    </xf>
    <xf numFmtId="0" fontId="62" fillId="0" borderId="6" xfId="0" applyFont="1" applyBorder="1" applyAlignment="1">
      <alignment horizontal="left"/>
    </xf>
    <xf numFmtId="0" fontId="56" fillId="0" borderId="0" xfId="0" applyFont="1" applyAlignment="1">
      <alignment horizontal="left"/>
    </xf>
    <xf numFmtId="0" fontId="56" fillId="0" borderId="6" xfId="0" applyFont="1" applyBorder="1" applyAlignment="1">
      <alignment horizontal="left"/>
    </xf>
    <xf numFmtId="0" fontId="56" fillId="0" borderId="7" xfId="0" applyFont="1" applyBorder="1" applyAlignment="1">
      <alignment horizontal="left"/>
    </xf>
    <xf numFmtId="0" fontId="56" fillId="0" borderId="6" xfId="0" applyFont="1" applyBorder="1"/>
    <xf numFmtId="0" fontId="56" fillId="0" borderId="7" xfId="0" applyFont="1" applyBorder="1"/>
    <xf numFmtId="0" fontId="56" fillId="0" borderId="0" xfId="0" applyFont="1"/>
    <xf numFmtId="0" fontId="56" fillId="0" borderId="9" xfId="0" applyFont="1" applyBorder="1" applyAlignment="1">
      <alignment horizontal="left"/>
    </xf>
    <xf numFmtId="0" fontId="56" fillId="0" borderId="14" xfId="0" applyFont="1" applyBorder="1" applyAlignment="1">
      <alignment horizontal="left"/>
    </xf>
    <xf numFmtId="0" fontId="56" fillId="0" borderId="10" xfId="0" applyFont="1" applyBorder="1" applyAlignment="1">
      <alignment horizontal="left"/>
    </xf>
    <xf numFmtId="0" fontId="60" fillId="0" borderId="4" xfId="0" applyFont="1" applyBorder="1" applyAlignment="1">
      <alignment horizontal="center"/>
    </xf>
    <xf numFmtId="0" fontId="60" fillId="0" borderId="13" xfId="0" applyFont="1" applyBorder="1" applyAlignment="1">
      <alignment horizontal="center"/>
    </xf>
    <xf numFmtId="0" fontId="60" fillId="0" borderId="5" xfId="0" applyFont="1" applyBorder="1" applyAlignment="1">
      <alignment horizontal="center"/>
    </xf>
    <xf numFmtId="0" fontId="60" fillId="0" borderId="9" xfId="0" applyFont="1" applyBorder="1" applyAlignment="1">
      <alignment horizontal="center" wrapText="1"/>
    </xf>
    <xf numFmtId="0" fontId="60" fillId="0" borderId="14" xfId="0" applyFont="1" applyBorder="1" applyAlignment="1">
      <alignment horizontal="center" wrapText="1"/>
    </xf>
    <xf numFmtId="0" fontId="60" fillId="0" borderId="10" xfId="0" applyFont="1" applyBorder="1" applyAlignment="1">
      <alignment horizontal="center" wrapText="1"/>
    </xf>
    <xf numFmtId="0" fontId="56" fillId="0" borderId="1" xfId="0" applyFont="1" applyBorder="1" applyAlignment="1">
      <alignment horizontal="center" vertical="center" wrapText="1"/>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cellXfs>
  <cellStyles count="10">
    <cellStyle name="Comma 2" xfId="5" xr:uid="{00000000-0005-0000-0000-000000000000}"/>
    <cellStyle name="Hyperlink" xfId="9" builtinId="8"/>
    <cellStyle name="Normal" xfId="0" builtinId="0"/>
    <cellStyle name="Normal 2" xfId="8" xr:uid="{00000000-0005-0000-0000-000002000000}"/>
    <cellStyle name="Normal 3" xfId="1" xr:uid="{00000000-0005-0000-0000-000003000000}"/>
    <cellStyle name="Normal 6" xfId="4" xr:uid="{00000000-0005-0000-0000-000004000000}"/>
    <cellStyle name="Normal 6 2" xfId="7" xr:uid="{00000000-0005-0000-0000-000005000000}"/>
    <cellStyle name="Normal 9" xfId="2" xr:uid="{00000000-0005-0000-0000-000006000000}"/>
    <cellStyle name="Normal 9 2" xfId="6" xr:uid="{00000000-0005-0000-0000-000007000000}"/>
    <cellStyle name="Style 1" xfId="3" xr:uid="{00000000-0005-0000-0000-000008000000}"/>
  </cellStyles>
  <dxfs count="0"/>
  <tableStyles count="0" defaultTableStyle="TableStyleMedium2" defaultPivotStyle="PivotStyleLight16"/>
  <colors>
    <mruColors>
      <color rgb="FF4490EC"/>
      <color rgb="FF3E76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201992</xdr:colOff>
      <xdr:row>0</xdr:row>
      <xdr:rowOff>1171575</xdr:rowOff>
    </xdr:to>
    <xdr:pic>
      <xdr:nvPicPr>
        <xdr:cNvPr id="9" name="Picture 8">
          <a:extLst>
            <a:ext uri="{FF2B5EF4-FFF2-40B4-BE49-F238E27FC236}">
              <a16:creationId xmlns:a16="http://schemas.microsoft.com/office/drawing/2014/main" id="{EE4EDB8C-2789-5D70-AAD1-E50A049DA9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3935791" cy="1171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AB09BF0F-E71C-4E5B-AD39-D2A4997C17A3}"/>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2E2B29B5-F978-40D0-8476-F668E16001D2}"/>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3E4EE8DB-3309-476A-87F7-F092648F1D65}"/>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D8F8A7F5-1EB7-4968-80AB-45BF8F5D9DB0}"/>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56FE3653-77D0-452D-BD7F-E51D58393550}"/>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E02A1DBF-1A63-499E-B475-73D7664441AF}"/>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D471AD89-BFFB-49FC-B49B-30B536FD65F2}"/>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716607AC-44C7-465D-AAC9-78317F71E658}"/>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B2C5FFB4-634A-474F-A723-B33C2E809E2C}"/>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FBC2AE77-F78E-496E-913F-91E665DB22F9}"/>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BE9BE0BF-09DF-4C36-AF59-D7239FA53151}"/>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C7110CE-3DAE-414D-B1BD-916BB630AE0F}"/>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FF473F67-BEF1-48EE-AB8D-910E67FC89F3}"/>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A54BE60B-E3F0-496D-BBEB-DFD17D4C52ED}"/>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30FD9D12-2526-4620-B07A-8C46BEE3FA64}"/>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7C00D584-E585-4558-8195-5780288BB3D9}"/>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1C30941E-D1CE-441A-BD95-12E035A6A5D6}"/>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74998703-0A11-45A1-A572-9D213A0E35FD}"/>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C5ED67C-EB00-4FE9-A00E-F214EDF6FD4D}"/>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69D1CFEB-70CC-44F0-BB46-5B69000E5F5C}"/>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F8A72E0E-4CEE-473C-BD42-EB642D4FE128}"/>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4055965A-15C9-498D-AB86-219C6FEC0B85}"/>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2B72617F-46B1-4152-9053-E61985295DAF}"/>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45D3A0E0-9254-441D-BD64-26FEF6DE0B77}"/>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3318BDA6-F54C-4EA0-BA76-C6ED927347B5}"/>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9B566B2E-70FF-4C4A-8283-270DC4D9FAA5}"/>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CD8035E9-825E-4605-871E-039C185CA521}"/>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D9AD33EF-8090-4685-AE04-7854CC18EABA}"/>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FDE7BC28-367D-4BC9-9112-61F502F0C8AB}"/>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F029BD36-43C7-4A31-86EA-319648022A3B}"/>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90622CB3-DF7B-4E4E-947A-53B6C846679D}"/>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79BB18E9-46C8-4E28-8E20-15CC154E44E1}"/>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E968C538-4C80-47C4-99AF-7805009F7AA7}"/>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3E10F396-5DD8-4D19-B046-D1E2AD431EDE}"/>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41F2AB8A-474D-47B0-9154-6E04ECFC1ED5}"/>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FA83A816-E04F-4B3B-A31C-A7B57F9DC47D}"/>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8CDC5654-91AB-4E90-9386-92D51CB2C202}"/>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68053CCF-440F-41A1-AC34-768CDF8910AB}"/>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312F3434-FBD4-43E5-A2B9-2D2D9CBEDDA7}"/>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2EC8EC03-337C-4961-8D52-E9A13CBCAA26}"/>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C2DD5697-D07B-4455-96B6-0F7AEB5B9C64}"/>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5DDFD9B4-57F0-43E7-BAE4-CEE3738D3AE9}"/>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C7BE8A1C-A71B-4AFB-B96E-F969E267512E}"/>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AFFD6308-877A-4748-9E82-34071763FCDF}"/>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A60EA98B-8941-45C9-966E-4F5D92B0359E}"/>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6E1F0CB3-BD57-4181-A12A-4CA7102E18B2}"/>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A82869AB-35C1-4287-A2D3-934D8CA6178C}"/>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F6AABE09-481E-44F4-BAD7-F95E485CC900}"/>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AD887468-0136-489C-8DBF-A4EB2109AF4E}"/>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21C7A327-71D1-4095-A301-B99492B373D9}"/>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C0AFC7FA-4151-4AA2-8338-C7E1F8E755D0}"/>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2D31FA8B-D69A-4787-B87D-36ED249E149F}"/>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1266B08D-2236-430C-B982-8F09CF0D861C}"/>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DF41D0A-5B48-4FEB-A4F9-E4547099F49E}"/>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9F62F3B8-7AF2-41F6-AFEA-95CF4757F026}"/>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E4FEEA09-17CB-4F06-8C99-B366D11BFC7D}"/>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D0CCEFB2-7CE2-4DBB-BBA5-BB32708B5023}"/>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6203CB94-3BF0-4BC4-A89D-1E1033F120C3}"/>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6FEE3B9A-16EC-4A83-85E4-4F84F7B3DC67}"/>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C8F115BA-8B43-4105-BA01-490E3587D8D5}"/>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2F11C9CB-349D-4CB9-9473-2255AB4C759C}"/>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A40B9772-86DF-42F0-802D-719C77D93872}"/>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309B990D-9A9A-4D1C-A627-58E47621BF88}"/>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4D43E924-2D72-43D5-8779-CA3A793A2D4A}"/>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9909D89B-765E-4631-8D68-E97EE190F8AE}"/>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63025AA9-C21B-467B-888E-CC06DDED16ED}"/>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8419FAA4-D74A-47A2-9F7C-DA8339F00C63}"/>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5254ECEB-C655-4F35-BD5C-6750E7499BE7}"/>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B1B5C95F-5F20-4418-BC05-8CF99133BB56}"/>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5D0B79E5-A782-48B8-AFA7-5373952142C4}"/>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D5343475-2EDD-4457-A1DA-53DD6E92AB16}"/>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41E0E53E-A173-4CD1-8006-D0436D07FE20}"/>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3ED6979C-1F11-4EBC-A483-D908653B8FE6}"/>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590567CC-047D-426A-8484-685EDD0C067F}"/>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BE42AB39-4A89-4D1F-AE89-DC2A384C915F}"/>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1B76FE21-8038-430C-A0A0-27C3E41716AC}"/>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D0EEC54B-FD84-46B2-B9DB-264590F226AF}"/>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8E42C28A-CD7D-441B-8DB9-70CFDC05A5C6}"/>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BAC63EF3-9BCA-4EFA-B1CF-763FA4713653}"/>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231B7C9B-FDB2-44D1-92C5-52A5EE3D1290}"/>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D445D368-C6A5-4483-9C98-69F4D44ECB82}"/>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E2BB0705-ED4D-42AE-8BE8-D29BA05F0C1A}"/>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4D80CBB3-FAEE-4C99-B40D-8B50E1E2E374}"/>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CA10D069-5ED0-48AA-B86A-694FFD966DC0}"/>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667369E6-3FD0-47D5-99B8-ECBB83D0F612}"/>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1927C047-D741-40B9-BCE9-9597FB75AA0C}"/>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FA81AB04-0687-44AB-BE22-62E23DF0B912}"/>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42C7924A-7D37-4977-B511-B0895DD1B546}"/>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B9EDDD42-889E-4DBD-9183-40160754DFF6}"/>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BAE5F074-4C12-404B-BB67-B2427AF75B07}"/>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D85DB59C-1F67-4236-B567-7460399E1A68}"/>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C28213ED-7CBF-4155-A914-A47E866785E9}"/>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6291FC4D-1351-42D3-B098-DAB78D2A5445}"/>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EE930D2B-5109-450E-9CF7-31B5875A4D67}"/>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20D2A9DB-ECCC-4ADC-A6B7-3913196BAC97}"/>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7FECB8DC-5517-4594-A3A6-1B7D5D8357D6}"/>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A470FD2A-13D1-4415-BF97-C13D3EA18371}"/>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BADBF7D8-87BF-41D1-87BE-5FDDF9989185}"/>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36E69737-B9CA-4720-A2C4-517CED9CEE0F}"/>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E0F100B7-03A5-4AA1-98A2-006680DEB8D8}"/>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A97BFCDF-3C6C-4DFA-A9C4-3342FA398508}"/>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16E4529F-A8FB-43AE-BD85-378186BD24BC}"/>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70957D3D-B123-443B-86E6-7133E4C99103}"/>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FC757A3A-9D8C-44FD-AA74-CD4E38D34E43}"/>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BEA8B48A-1E27-40AB-BDC5-ABBB930D02AD}"/>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CD961A2E-D4C8-4351-B450-C71AB04134DA}"/>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4569DC89-A677-4DCF-9404-002E51FE9731}"/>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AC684898-6AE5-41F6-8193-5C2BE717BA76}"/>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29D138D7-AF6B-455B-8537-EC0CB076184E}"/>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ECE30C03-2FCD-481F-A385-CC153D3D7ECB}"/>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6771E6B6-C6D6-4003-A838-5FFE126CD345}"/>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D3C5B135-C1DE-44F9-9BA9-CC6D19E27C1A}"/>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E2D48477-83E4-4632-BB1C-C84AEA05A642}"/>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88138C6C-1B3A-4ACE-B8C3-17FB87189357}"/>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6A8C49B1-2A4F-4E34-86D6-320FBCEAB2BE}"/>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8A428C5D-8592-484A-B757-2C83FEA7A146}"/>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F62E422D-4A14-4A3D-8A18-36C376277C2D}"/>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3FE7D359-A3CF-4B5C-87FC-BCFB95A70876}"/>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98007878-4055-442B-9475-0C70C6756FEF}"/>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B401FFA5-E5D0-4FB6-B8A8-8A0D358F807B}"/>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11CABF18-59AF-4DBE-A2F6-2F52D91F4AD9}"/>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D503CFE6-71C3-4303-9232-30319FF2F253}"/>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B759344A-1B4A-4E23-9A98-90DD9AD33347}"/>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4D5EE01F-D1A4-437C-A472-A41900516FB8}"/>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56174B11-A05A-4B56-9B3F-85E90A03706D}"/>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34C4DFB0-64B2-4133-A0F6-A769CAC2F59A}"/>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94119860-ABD5-4616-902B-9CA3F094E500}"/>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8DE216E4-D150-42DF-8060-7C4C9DE28B3F}"/>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7A51A91A-E950-4D1D-A452-F5D0CEF9EDAD}"/>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1E50CC0E-242D-4B66-8809-37DB7851DE29}"/>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2287AF00-6238-4DBF-8DD4-DD27E142C4EC}"/>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81643CB1-18CE-4DFD-B4F2-0D0F0533E7E3}"/>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49ABF3D0-B32F-485B-9CEB-EBF58E32CC75}"/>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F95739BE-E387-42BA-A3EF-5127BC1C7351}"/>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10CA5E2B-C366-48AE-B9A2-4801DD501A70}"/>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D81F27C9-C852-47BB-86B2-3373B5ABE3EF}"/>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AEFA3AF-BD13-40E0-889D-F86243A5984F}"/>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3279BC62-E1BF-4546-8F21-98DDCF26834E}"/>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2C7BF5E9-EC7E-4A8F-8251-9C31F3A46460}"/>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8C003FC5-31DE-43F6-B93A-B257ECBE2D01}"/>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719052DA-C4B5-4070-8E8C-FB112267A138}"/>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79429D59-887A-4592-AF4D-DF047E64297A}"/>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7A0322B0-4C42-4591-9A40-C38C6A96765A}"/>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90BAB3C3-BDF8-4EC2-8083-7CCDBF4C640A}"/>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C1413FAA-010E-4125-ACFC-3D99BF1689B8}"/>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6DBA93AD-8BD2-41E0-988D-83D8085F8B37}"/>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85C5E805-00AF-47F1-8BF4-6BBEBE840472}"/>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506ABAF7-95B7-4FD6-AC0A-BFE5B2C25AF1}"/>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2F611A6D-43E4-4402-864A-D28BF61013D0}"/>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AB7A2C1B-B882-47F0-A647-E2F66A9D1978}"/>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ADAD73FD-D120-4A70-BAA0-006F2A664C82}"/>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BB1D32D5-9EAF-49B3-872F-ADBD6A87887B}"/>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AF3C65D1-4B66-4E18-8EC7-63A720C056EC}"/>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AFC09253-09DB-4D9A-9576-11052A832F15}"/>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41A1A7FE-1215-485C-85C7-B658F113A272}"/>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7B5F71F3-50E9-4EFF-A77F-B31A0937C839}"/>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CD5ECC2F-3C51-4D8E-8F4C-67AEAA52152F}"/>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CFFFD726-AC64-4E82-A3C2-6A67061B6724}"/>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795C8E7D-D841-4174-B1BD-D6C58D4D6E04}"/>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F7AC3BD2-96FC-4B15-84D2-C12C67C4C676}"/>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D86FCD8B-9FD3-4A39-A1AC-9EE113E78126}"/>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58184CCC-D2A4-434D-91EF-FEB53FAFC884}"/>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98F29437-A836-43C9-A7B6-2D486EDB3119}"/>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63D97CFF-7DA6-4888-88E1-BB0E848E30F0}"/>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6C889133-75AD-469B-B7D1-9CFEFC630D04}"/>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63B2AA32-5A23-4DF7-9F28-5FAA967AED6A}"/>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81EB6A16-E31C-4227-9C6C-480D3091A5EC}"/>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B7867152-3220-4827-B0AF-114F7F376096}"/>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42B837B2-472C-4E51-B8EF-AF68A1706587}"/>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91E3D8E1-C014-4BE6-8C3A-EFE92C15BCDE}"/>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934818A-539E-4182-9015-22BF4C7A978B}"/>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51A19C46-A0E1-499C-9DA7-1884C9FC85D9}"/>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132F9C9-A5B4-4617-A4B8-C34E13E2B913}"/>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E6FE4B33-40FB-4DC7-B5A1-4F82AF060670}"/>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7F8D0BC2-5933-4D47-9658-BE97BC743ACC}"/>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37218CA5-A5D0-493D-919E-5F367AB20E91}"/>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D0E15817-7DF2-4279-AF6E-1CC67B178820}"/>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93FD7ECD-A187-4437-96FE-C11824EA9D10}"/>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F9FB9D97-72AC-468B-B12F-917FB488E9EF}"/>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34A5734-02A3-4B69-91EF-A10136E3FB55}"/>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8D1829D2-5D25-49E1-9FBA-ACE5A7E206DC}"/>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8084DC36-EE30-4E33-8893-EE26DC285BFB}"/>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5052317C-7F17-4903-B6FF-428045996CA0}"/>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CFF3D2E0-15D3-4E39-A5CC-15D8970F269A}"/>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A085E2A4-0A65-4614-AE2F-313B77D7D1A6}"/>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9F516C55-3197-4CF4-9390-FCDD0B6014FE}"/>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2AD5A7BB-7C3B-4741-8ACD-029DFDAAC582}"/>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4DBB232-B3AC-43CF-A404-EC2629DF51C2}"/>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D00E4E22-70C9-40A0-8161-FD188CBC5174}"/>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394607DA-CB37-46BD-9E7B-2AFA6A184015}"/>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7F38C8F0-D786-4CD2-9BF8-A3CE074CC5BD}"/>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1C72543B-7A77-4B0B-BB35-C29BAE85B258}"/>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998532B3-6A1D-4A71-8FCE-E5CF695CECFE}"/>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36448AF6-2F8D-4884-B721-F2D0FB97A127}"/>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5C86570E-31A2-4308-8F76-83D90E698035}"/>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BE92B32A-2483-4239-9F3B-C20CABB249E4}"/>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9A70C73E-415A-4FFB-BB29-F4B1905A17A0}"/>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487BA860-06BF-458A-9793-2CDD001686A2}"/>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88F04C4F-1376-4446-A48F-5ACF7277128F}"/>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13A35FDF-AEFC-4951-8697-74E28036783F}"/>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546D725B-A621-46A6-83C2-1A3E43B54DD2}"/>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39353F4E-C7A8-43C1-B2BD-C4465B93A91C}"/>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4ABE5F1E-4432-4521-B3C2-ACC9DEAC73D1}"/>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60FBC1CB-54DC-485E-A16C-FCAA687A684D}"/>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7FE385D6-AC39-4171-AE07-88ECEF4A83EB}"/>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B6650B86-AE62-48D7-9DEF-ADA96BB4D81D}"/>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F5EFD713-CCE1-47C1-B7B9-5BEE540D901D}"/>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5A48DFF6-54D3-40DB-B1E7-2411AEB23A9D}"/>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A6E4E355-929B-4A62-969B-87DCD2006734}"/>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C43399A0-B8E8-4129-8650-D68BA76067CB}"/>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B969E71B-C869-4A8F-8A31-BFBB6A9AE153}"/>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E2E84ADE-9526-47BE-B4A9-F12CC62AB404}"/>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F82A9DC-B7A0-410A-9D6C-CD39B1736F14}"/>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A985209F-BAFB-4D98-87AD-EFA5758A8F02}"/>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F1C34788-09CF-4683-B676-BF2E39953523}"/>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6D5362C0-C9E7-4450-9F31-8554C180254A}"/>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5B34CD1F-6108-499F-9692-C8618AF47FD3}"/>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C4908ED5-BCA8-4589-89E2-76CF269B7095}"/>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55C0B492-9034-4BB4-A473-89BF4EF0ABF9}"/>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8E4A04E7-DC69-4F4F-AD71-8FA12A85BBEC}"/>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8D933F16-EA12-43C7-8822-445384CB070F}"/>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E945B22F-19B7-4B9E-8251-8C7C3F1055C1}"/>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1D13FCFC-6BA6-4E73-885B-11E87A9A9341}"/>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F89247CC-4E36-41BA-8F30-56A940DFBAB4}"/>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BF6FA196-18A9-40C7-BC47-2169C83959FF}"/>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31411958-67AC-44E6-AC88-91F0350FE600}"/>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4B5D349D-CFF1-4375-AAA7-C9D5C69FCECF}"/>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260C68A2-ECB7-46C3-A4C3-B0817CF04662}"/>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B9262DB5-0D8C-4961-B1EB-2F612BCB58D8}"/>
            </a:ext>
          </a:extLst>
        </xdr:cNvPr>
        <xdr:cNvSpPr/>
      </xdr:nvSpPr>
      <xdr:spPr>
        <a:xfrm>
          <a:off x="154584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C0139443-CD9B-4B7E-929A-FF433419791C}"/>
            </a:ext>
          </a:extLst>
        </xdr:cNvPr>
        <xdr:cNvSpPr/>
      </xdr:nvSpPr>
      <xdr:spPr>
        <a:xfrm>
          <a:off x="157826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EE819417-DCC9-4C78-8905-21A1157774AB}"/>
            </a:ext>
          </a:extLst>
        </xdr:cNvPr>
        <xdr:cNvSpPr/>
      </xdr:nvSpPr>
      <xdr:spPr>
        <a:xfrm>
          <a:off x="162840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5F454BFD-817B-4D34-AA18-B813CA591F22}"/>
            </a:ext>
          </a:extLst>
        </xdr:cNvPr>
        <xdr:cNvSpPr/>
      </xdr:nvSpPr>
      <xdr:spPr>
        <a:xfrm>
          <a:off x="161960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A96D744B-6113-484E-AA36-89A942836776}"/>
            </a:ext>
          </a:extLst>
        </xdr:cNvPr>
        <xdr:cNvSpPr txBox="1">
          <a:spLocks noChangeArrowheads="1"/>
        </xdr:cNvSpPr>
      </xdr:nvSpPr>
      <xdr:spPr bwMode="auto">
        <a:xfrm>
          <a:off x="161069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32390BC3-8B2E-40B2-B203-39227AAE7FB8}"/>
            </a:ext>
          </a:extLst>
        </xdr:cNvPr>
        <xdr:cNvSpPr/>
      </xdr:nvSpPr>
      <xdr:spPr>
        <a:xfrm>
          <a:off x="168203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85E3E366-B495-4CA2-9A2C-008D5BA02012}"/>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427F1112-63D1-4C34-9B79-E1E799D5D7AA}"/>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DEA85AF1-EF81-4D26-893D-08644A5A0C29}"/>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F432DD74-F073-4849-B92C-A9C3839C2080}"/>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2DCF4F9E-CA98-4943-A345-9E3D6BC9C8A8}"/>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2307B11A-808B-40E2-B7C5-45E6942FB0C5}"/>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23055752-8B15-4CC7-9109-6F92D3E3ABFB}"/>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E1D4F528-D97B-42E6-8A47-C3FC329F55AE}"/>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22C8A3AE-DB94-45EE-A03E-2A93B3D8590E}"/>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4828352B-9699-4559-8511-D5679FF654D1}"/>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2CD3B6C6-DEB0-4294-B7CE-238EB21AD0AB}"/>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88995291-CE76-4AFA-8083-2D827A9231B2}"/>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A8443693-78D9-400D-A886-83A34BD9DE40}"/>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E38B1A84-BFB9-4A18-9F34-6EE88D264892}"/>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AE877F29-796A-4C2B-8EC0-9E95878389A1}"/>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D9A648BF-C968-4030-99D4-975768FF1BD6}"/>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78421E7A-A1BC-4B08-A3D9-7D2284EFA169}"/>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F09A4F1C-5E7E-4B7D-A59A-E598020B21E7}"/>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88C200AF-C209-4528-AAEB-ED077DF43DE7}"/>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8D17CC36-0824-4D11-AB5F-BF3D94409A57}"/>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19B6F9B2-761E-4E0E-B05D-1218BEAC75EE}"/>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3BF3D028-0CAD-4DF3-BBE5-F02C4DA44FA9}"/>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C72705D3-1F51-4D09-A1D9-32005752CAC5}"/>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CC235781-C50E-4FC7-A251-FE4461BC1552}"/>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4066F9D5-15FF-4D89-8A15-2153BABED4C3}"/>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E3655BF7-FF36-44F9-BD8D-5A24E9B934F1}"/>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737ED524-44D7-43BD-A77A-51DADB93818F}"/>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DCEAE4BA-E32D-4291-9E49-F42E17A507F4}"/>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F36F3551-4D6C-4BD9-9F07-D0D5D10375C7}"/>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1F421364-3794-4634-BF3F-0AC7EDE2BCA1}"/>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7F312DE5-59BB-4380-B12A-E5EEE93534C5}"/>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F6C6A3B3-3DA9-4269-A47F-C850872EB443}"/>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515A0760-1263-4514-92CB-A1F69FB27E7F}"/>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5F40FD5F-D495-47FC-9A90-125CC125C705}"/>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1C48ABE-4B91-4552-9934-A1B07284EEED}"/>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E3876F5-C249-4D2D-BEC9-2A3C4DAE9EF6}"/>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469FE98C-5F87-4A4D-8C38-D5C9F8EF9693}"/>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7F60A91F-C558-4208-A04A-12130C7131B2}"/>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A0DA131C-AF45-47D3-97BB-78D60BB48792}"/>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AB95D94-00B6-4206-81EF-BD950B7324C0}"/>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906ACF3F-FA58-4A30-8E6A-D1BBF125A34F}"/>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B454DDAD-DF59-44CB-98C9-9A621D6B62DF}"/>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8D2C3B07-6C8B-421B-81E9-6143C8FA2659}"/>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87ACAD93-7C1B-4296-9A68-5C9B8146827E}"/>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4FE8DE09-5C32-49BE-B442-234B5FEC3336}"/>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38A09BB4-7EF3-4CEE-AAC8-26669DC532CD}"/>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17BBC4FE-CAB6-4209-8D6E-056E57829696}"/>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8E172DC0-7AB1-4F0C-B3A4-4BCC65CB8B6E}"/>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6D839648-05B0-4682-A964-627388E40B8E}"/>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AB5E54F0-6417-42C4-B0A0-5A3ADD2FE555}"/>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E058BF19-E6F6-4B8F-A1F9-EFFAF576E372}"/>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A063C5A4-4E66-49A3-B550-5B25CF8CDDBB}"/>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31F37684-D47A-40F5-B379-DFE7280CE028}"/>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18B48B11-59CB-43DC-BABE-F6F08A21F4AE}"/>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4D741F62-8916-4710-B035-0C0FFEEB67CB}"/>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3D691FE8-044B-4438-B7CB-B44291FA607F}"/>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2D75C623-2B8D-45F1-90F0-E0933C6C749A}"/>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F7583220-FFB2-4BFB-8F42-3C93E0785545}"/>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769C0BBE-9449-463C-9260-4F99470EB869}"/>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C705086F-A5C7-46E2-A1CF-520F923864CF}"/>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FC69CF3D-E492-49B9-B606-1223FB241BDC}"/>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F1FC85E6-DD96-4444-A657-568605E3E112}"/>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2F512B9B-D054-452A-A3D8-1C9CB9074860}"/>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2D43E920-9DB6-4C26-A99A-E26072A29624}"/>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80123765-AD6C-46F9-8C05-243D62AF16AD}"/>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6BE3934A-A706-42B1-8684-36C782E22511}"/>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F660D128-B29F-4FC2-8102-6C672A93F144}"/>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9602F859-B64B-4B58-BAB1-D72A09761C69}"/>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46F659-FA63-4482-92DC-FD6EC42AD46A}"/>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AAEE5751-5B7F-4EA7-8984-00799806DF93}"/>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D1DE8B49-27FD-406B-B5AB-4DB8FEEBE15C}"/>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B4AAD5CD-0534-4F42-8481-BD24C8443B24}"/>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3E53B038-9458-460F-AFF5-50A0BAE321EC}"/>
            </a:ext>
          </a:extLst>
        </xdr:cNvPr>
        <xdr:cNvSpPr/>
      </xdr:nvSpPr>
      <xdr:spPr>
        <a:xfrm>
          <a:off x="1571720"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8848FBB6-5359-4530-994B-534DD02EA4F0}"/>
            </a:ext>
          </a:extLst>
        </xdr:cNvPr>
        <xdr:cNvSpPr/>
      </xdr:nvSpPr>
      <xdr:spPr>
        <a:xfrm>
          <a:off x="1604145"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B911C60-B71A-4DAF-8A3D-C73CF01F62F9}"/>
            </a:ext>
          </a:extLst>
        </xdr:cNvPr>
        <xdr:cNvSpPr/>
      </xdr:nvSpPr>
      <xdr:spPr>
        <a:xfrm>
          <a:off x="1654281"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FE50DA92-2FF7-4A39-AA6A-311A10CB23E8}"/>
            </a:ext>
          </a:extLst>
        </xdr:cNvPr>
        <xdr:cNvSpPr/>
      </xdr:nvSpPr>
      <xdr:spPr>
        <a:xfrm>
          <a:off x="1645489"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CD36EC3-E1D7-4C88-B92B-8889D79A61D2}"/>
            </a:ext>
          </a:extLst>
        </xdr:cNvPr>
        <xdr:cNvSpPr txBox="1">
          <a:spLocks noChangeArrowheads="1"/>
        </xdr:cNvSpPr>
      </xdr:nvSpPr>
      <xdr:spPr bwMode="auto">
        <a:xfrm>
          <a:off x="1636572"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C60962ED-4235-4869-9912-D0BD96FEB1D9}"/>
            </a:ext>
          </a:extLst>
        </xdr:cNvPr>
        <xdr:cNvSpPr/>
      </xdr:nvSpPr>
      <xdr:spPr>
        <a:xfrm>
          <a:off x="1707917"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B7BD4F58-EAAE-468B-BD5D-DF0776EE169D}"/>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58F93A8A-4E19-477D-87FA-9057B948DA9D}"/>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CBB4DDBA-8531-4D18-AA00-A90BE1C0DE55}"/>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73269CBF-C057-4198-8EDD-CBECA24C2A96}"/>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586CFF7A-C4A4-4248-B469-0C8BEFAF051F}"/>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2928722C-2D8A-4CB0-9D99-CA740D228794}"/>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0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0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0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0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0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0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1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1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1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1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1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1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2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2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2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2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2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2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3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3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3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3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3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3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4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4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4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4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4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4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5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5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5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5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5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5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6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6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6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6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6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6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7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7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7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7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7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7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8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8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8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8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8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8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9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9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9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9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9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9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A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A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A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A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A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B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B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B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B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B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C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C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C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C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C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C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D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D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D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D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D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D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E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E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E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E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E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E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0F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0F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0F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0F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0F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0F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0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0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0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0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0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0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1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1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1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1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1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1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2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2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2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2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2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2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3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3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3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3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3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3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4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4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4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4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4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4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5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5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5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5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5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5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6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6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6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6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6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6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7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7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7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7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7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7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8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8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8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8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8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8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9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9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9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9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9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9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A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A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A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A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A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A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B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B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B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B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B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B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C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C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C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C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C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C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D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D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D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D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D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D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E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E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E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E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E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E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1F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1F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1F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1F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1F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1F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0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0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0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0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0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0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1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1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1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1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1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1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2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2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2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2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2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2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3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3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3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3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3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3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4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4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4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4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4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4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5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5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5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5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5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5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6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6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6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6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6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6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7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7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7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7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7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7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8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8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8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8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8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8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9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9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9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9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9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9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A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A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A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A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A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A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B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B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B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B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B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B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C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C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C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C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C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C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0.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D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D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D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D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D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D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1.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E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E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E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E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E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E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2.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2F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2F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2F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2F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2F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2F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30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30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30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30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30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30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31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31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31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31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31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31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5.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32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32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32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32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32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32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6.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33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33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33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33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33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33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34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34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34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34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34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34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8.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35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35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35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35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35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35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xdr:col>
      <xdr:colOff>1183531</xdr:colOff>
      <xdr:row>0</xdr:row>
      <xdr:rowOff>76200</xdr:rowOff>
    </xdr:from>
    <xdr:to>
      <xdr:col>1</xdr:col>
      <xdr:colOff>1543048</xdr:colOff>
      <xdr:row>0</xdr:row>
      <xdr:rowOff>480646</xdr:rowOff>
    </xdr:to>
    <xdr:sp macro="" textlink="">
      <xdr:nvSpPr>
        <xdr:cNvPr id="2" name="Oval 1">
          <a:extLst>
            <a:ext uri="{FF2B5EF4-FFF2-40B4-BE49-F238E27FC236}">
              <a16:creationId xmlns:a16="http://schemas.microsoft.com/office/drawing/2014/main" id="{00000000-0008-0000-3600-000002000000}"/>
            </a:ext>
          </a:extLst>
        </xdr:cNvPr>
        <xdr:cNvSpPr/>
      </xdr:nvSpPr>
      <xdr:spPr>
        <a:xfrm>
          <a:off x="1555006" y="76200"/>
          <a:ext cx="359517" cy="404446"/>
        </a:xfrm>
        <a:prstGeom prst="ellipse">
          <a:avLst/>
        </a:prstGeom>
        <a:solidFill>
          <a:srgbClr val="0070C0"/>
        </a:solidFill>
        <a:ln>
          <a:solidFill>
            <a:srgbClr val="376A8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1215956</xdr:colOff>
      <xdr:row>0</xdr:row>
      <xdr:rowOff>97277</xdr:rowOff>
    </xdr:from>
    <xdr:to>
      <xdr:col>1</xdr:col>
      <xdr:colOff>1569719</xdr:colOff>
      <xdr:row>0</xdr:row>
      <xdr:rowOff>454269</xdr:rowOff>
    </xdr:to>
    <xdr:sp macro="" textlink="">
      <xdr:nvSpPr>
        <xdr:cNvPr id="3" name="Oval 2">
          <a:extLst>
            <a:ext uri="{FF2B5EF4-FFF2-40B4-BE49-F238E27FC236}">
              <a16:creationId xmlns:a16="http://schemas.microsoft.com/office/drawing/2014/main" id="{00000000-0008-0000-3600-000003000000}"/>
            </a:ext>
          </a:extLst>
        </xdr:cNvPr>
        <xdr:cNvSpPr/>
      </xdr:nvSpPr>
      <xdr:spPr>
        <a:xfrm>
          <a:off x="1587431" y="97277"/>
          <a:ext cx="353763" cy="356992"/>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1266092</xdr:colOff>
      <xdr:row>0</xdr:row>
      <xdr:rowOff>120162</xdr:rowOff>
    </xdr:from>
    <xdr:to>
      <xdr:col>1</xdr:col>
      <xdr:colOff>1556238</xdr:colOff>
      <xdr:row>0</xdr:row>
      <xdr:rowOff>424962</xdr:rowOff>
    </xdr:to>
    <xdr:sp macro="" textlink="">
      <xdr:nvSpPr>
        <xdr:cNvPr id="4" name="Oval 3">
          <a:extLst>
            <a:ext uri="{FF2B5EF4-FFF2-40B4-BE49-F238E27FC236}">
              <a16:creationId xmlns:a16="http://schemas.microsoft.com/office/drawing/2014/main" id="{00000000-0008-0000-3600-000004000000}"/>
            </a:ext>
          </a:extLst>
        </xdr:cNvPr>
        <xdr:cNvSpPr/>
      </xdr:nvSpPr>
      <xdr:spPr>
        <a:xfrm>
          <a:off x="1637567" y="120162"/>
          <a:ext cx="290146" cy="304800"/>
        </a:xfrm>
        <a:prstGeom prst="ellipse">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1257300</xdr:colOff>
      <xdr:row>0</xdr:row>
      <xdr:rowOff>134815</xdr:rowOff>
    </xdr:from>
    <xdr:to>
      <xdr:col>1</xdr:col>
      <xdr:colOff>1526930</xdr:colOff>
      <xdr:row>0</xdr:row>
      <xdr:rowOff>413238</xdr:rowOff>
    </xdr:to>
    <xdr:sp macro="" textlink="">
      <xdr:nvSpPr>
        <xdr:cNvPr id="5" name="Oval 4">
          <a:extLst>
            <a:ext uri="{FF2B5EF4-FFF2-40B4-BE49-F238E27FC236}">
              <a16:creationId xmlns:a16="http://schemas.microsoft.com/office/drawing/2014/main" id="{00000000-0008-0000-3600-000005000000}"/>
            </a:ext>
          </a:extLst>
        </xdr:cNvPr>
        <xdr:cNvSpPr/>
      </xdr:nvSpPr>
      <xdr:spPr>
        <a:xfrm>
          <a:off x="1628775" y="134815"/>
          <a:ext cx="269630" cy="278423"/>
        </a:xfrm>
        <a:prstGeom prst="ellipse">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1248383</xdr:colOff>
      <xdr:row>0</xdr:row>
      <xdr:rowOff>175261</xdr:rowOff>
    </xdr:from>
    <xdr:to>
      <xdr:col>1</xdr:col>
      <xdr:colOff>1482969</xdr:colOff>
      <xdr:row>0</xdr:row>
      <xdr:rowOff>364671</xdr:rowOff>
    </xdr:to>
    <xdr:sp macro="" textlink="">
      <xdr:nvSpPr>
        <xdr:cNvPr id="6" name="Text Box 3">
          <a:extLst>
            <a:ext uri="{FF2B5EF4-FFF2-40B4-BE49-F238E27FC236}">
              <a16:creationId xmlns:a16="http://schemas.microsoft.com/office/drawing/2014/main" id="{00000000-0008-0000-3600-000006000000}"/>
            </a:ext>
          </a:extLst>
        </xdr:cNvPr>
        <xdr:cNvSpPr txBox="1">
          <a:spLocks noChangeArrowheads="1"/>
        </xdr:cNvSpPr>
      </xdr:nvSpPr>
      <xdr:spPr bwMode="auto">
        <a:xfrm>
          <a:off x="1619858" y="175261"/>
          <a:ext cx="234586" cy="189410"/>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ctr" rtl="0">
            <a:defRPr sz="1000"/>
          </a:pPr>
          <a:r>
            <a:rPr lang="en-IN" sz="500" b="0" i="0" u="none" strike="noStrike" baseline="0">
              <a:solidFill>
                <a:srgbClr val="002060"/>
              </a:solidFill>
              <a:latin typeface="Lucida Fax" panose="02060602050505020204" pitchFamily="18" charset="0"/>
              <a:cs typeface="Calibri"/>
            </a:rPr>
            <a:t>MAM</a:t>
          </a:r>
          <a:r>
            <a:rPr lang="en-IN" sz="700" b="0" i="0" u="none" strike="noStrike" baseline="0">
              <a:solidFill>
                <a:srgbClr val="000000"/>
              </a:solidFill>
              <a:latin typeface="Calibri"/>
              <a:cs typeface="Calibri"/>
            </a:rPr>
            <a:t> </a:t>
          </a:r>
        </a:p>
        <a:p>
          <a:pPr algn="ctr" rtl="0">
            <a:defRPr sz="1000"/>
          </a:pPr>
          <a:r>
            <a:rPr lang="en-IN" sz="300" b="0" i="0" u="none" strike="noStrike" baseline="0">
              <a:solidFill>
                <a:srgbClr val="0070C0"/>
              </a:solidFill>
              <a:latin typeface="Calibri"/>
              <a:cs typeface="Calibri"/>
            </a:rPr>
            <a:t>INDUSTRIES</a:t>
          </a:r>
        </a:p>
      </xdr:txBody>
    </xdr:sp>
    <xdr:clientData/>
  </xdr:twoCellAnchor>
  <xdr:twoCellAnchor>
    <xdr:from>
      <xdr:col>1</xdr:col>
      <xdr:colOff>1319728</xdr:colOff>
      <xdr:row>0</xdr:row>
      <xdr:rowOff>179947</xdr:rowOff>
    </xdr:from>
    <xdr:to>
      <xdr:col>1</xdr:col>
      <xdr:colOff>1434027</xdr:colOff>
      <xdr:row>0</xdr:row>
      <xdr:rowOff>225666</xdr:rowOff>
    </xdr:to>
    <xdr:sp macro="" textlink="">
      <xdr:nvSpPr>
        <xdr:cNvPr id="7" name="Isosceles Triangle 6">
          <a:extLst>
            <a:ext uri="{FF2B5EF4-FFF2-40B4-BE49-F238E27FC236}">
              <a16:creationId xmlns:a16="http://schemas.microsoft.com/office/drawing/2014/main" id="{00000000-0008-0000-3600-000007000000}"/>
            </a:ext>
          </a:extLst>
        </xdr:cNvPr>
        <xdr:cNvSpPr/>
      </xdr:nvSpPr>
      <xdr:spPr>
        <a:xfrm>
          <a:off x="1691203" y="179947"/>
          <a:ext cx="114299" cy="45719"/>
        </a:xfrm>
        <a:prstGeom prst="triangle">
          <a:avLst>
            <a:gd name="adj" fmla="val 48950"/>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ogle.com/maps/search/No.+102,+Bommasandra-Jigani+Link+Road,+Anekal?entry=gmail&amp;source=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google.com/maps/search/No.+102,+Bommasandra-Jigani+Link+Road,+Anekal?entry=gmail&amp;source=g"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EECC-5D18-4662-A063-D69C781BBA95}">
  <dimension ref="A1:M27"/>
  <sheetViews>
    <sheetView tabSelected="1" workbookViewId="0">
      <selection activeCell="H6" sqref="H6"/>
    </sheetView>
  </sheetViews>
  <sheetFormatPr defaultRowHeight="17.25"/>
  <cols>
    <col min="1" max="1" width="7.140625" style="336" bestFit="1" customWidth="1"/>
    <col min="2" max="2" width="48.85546875" style="336" customWidth="1"/>
    <col min="3" max="3" width="6" style="336" bestFit="1" customWidth="1"/>
    <col min="4" max="4" width="6.42578125" style="336" bestFit="1" customWidth="1"/>
    <col min="5" max="5" width="13.7109375" style="336" customWidth="1"/>
    <col min="6" max="6" width="12" style="336" customWidth="1"/>
    <col min="7" max="16384" width="9.140625" style="336"/>
  </cols>
  <sheetData>
    <row r="1" spans="1:13" ht="105.95" customHeight="1">
      <c r="A1" s="401"/>
      <c r="B1" s="402"/>
      <c r="C1" s="402"/>
      <c r="D1" s="402"/>
      <c r="E1" s="402"/>
      <c r="F1" s="403"/>
    </row>
    <row r="2" spans="1:13" ht="18" customHeight="1">
      <c r="A2" s="337" t="s">
        <v>6</v>
      </c>
      <c r="B2" s="338"/>
      <c r="C2" s="338"/>
      <c r="D2" s="338"/>
      <c r="E2" s="338"/>
      <c r="F2" s="339"/>
    </row>
    <row r="3" spans="1:13" ht="20.25">
      <c r="A3" s="340" t="s">
        <v>7</v>
      </c>
      <c r="B3" s="341" t="s">
        <v>1110</v>
      </c>
      <c r="C3" s="342" t="s">
        <v>1127</v>
      </c>
      <c r="D3" s="343"/>
      <c r="E3" s="343"/>
      <c r="F3" s="344"/>
    </row>
    <row r="4" spans="1:13" ht="42" customHeight="1">
      <c r="A4" s="345"/>
      <c r="B4" s="346" t="s">
        <v>1112</v>
      </c>
      <c r="C4" s="342" t="s">
        <v>1126</v>
      </c>
      <c r="D4" s="343"/>
      <c r="E4" s="343"/>
      <c r="F4" s="344"/>
    </row>
    <row r="5" spans="1:13" ht="16.5" customHeight="1">
      <c r="A5" s="347"/>
      <c r="B5" s="348" t="s">
        <v>1111</v>
      </c>
      <c r="C5" s="349" t="s">
        <v>9</v>
      </c>
      <c r="D5" s="350"/>
      <c r="E5" s="350"/>
      <c r="F5" s="351"/>
    </row>
    <row r="6" spans="1:13">
      <c r="A6" s="352" t="s">
        <v>3</v>
      </c>
      <c r="B6" s="352" t="s">
        <v>4</v>
      </c>
      <c r="C6" s="352" t="s">
        <v>5</v>
      </c>
      <c r="D6" s="352" t="s">
        <v>10</v>
      </c>
      <c r="E6" s="352" t="s">
        <v>11</v>
      </c>
      <c r="F6" s="352" t="s">
        <v>12</v>
      </c>
      <c r="L6" s="353"/>
    </row>
    <row r="7" spans="1:13" ht="16.350000000000001" customHeight="1">
      <c r="A7" s="354"/>
      <c r="B7" s="355"/>
      <c r="C7" s="356"/>
      <c r="D7" s="356"/>
      <c r="E7" s="357"/>
      <c r="F7" s="357"/>
    </row>
    <row r="8" spans="1:13" ht="19.5">
      <c r="A8" s="345">
        <v>1</v>
      </c>
      <c r="B8" s="358" t="s">
        <v>1131</v>
      </c>
      <c r="C8" s="359">
        <v>1</v>
      </c>
      <c r="D8" s="359" t="s">
        <v>13</v>
      </c>
      <c r="E8" s="360">
        <v>1850</v>
      </c>
      <c r="F8" s="360">
        <f t="shared" ref="F8" si="0">C8*E8</f>
        <v>1850</v>
      </c>
    </row>
    <row r="9" spans="1:13" ht="19.5">
      <c r="A9" s="345"/>
      <c r="B9" s="361" t="s">
        <v>1128</v>
      </c>
      <c r="C9" s="359"/>
      <c r="D9" s="359"/>
      <c r="E9" s="360"/>
      <c r="F9" s="360"/>
    </row>
    <row r="10" spans="1:13" ht="19.5">
      <c r="A10" s="345">
        <v>2</v>
      </c>
      <c r="B10" s="358" t="s">
        <v>1132</v>
      </c>
      <c r="C10" s="359">
        <v>1</v>
      </c>
      <c r="D10" s="359" t="s">
        <v>13</v>
      </c>
      <c r="E10" s="360">
        <v>350</v>
      </c>
      <c r="F10" s="360">
        <f t="shared" ref="F10" si="1">C10*E10</f>
        <v>350</v>
      </c>
      <c r="M10" s="336" t="s">
        <v>68</v>
      </c>
    </row>
    <row r="11" spans="1:13" ht="19.5">
      <c r="A11" s="345"/>
      <c r="B11" s="361" t="s">
        <v>1129</v>
      </c>
      <c r="C11" s="359"/>
      <c r="D11" s="359"/>
      <c r="E11" s="360"/>
      <c r="F11" s="360"/>
    </row>
    <row r="12" spans="1:13" ht="19.5">
      <c r="A12" s="345">
        <v>3</v>
      </c>
      <c r="B12" s="362" t="s">
        <v>1133</v>
      </c>
      <c r="C12" s="359">
        <v>1</v>
      </c>
      <c r="D12" s="359" t="s">
        <v>13</v>
      </c>
      <c r="E12" s="360">
        <v>380</v>
      </c>
      <c r="F12" s="360">
        <f t="shared" ref="F12" si="2">C12*E12</f>
        <v>380</v>
      </c>
    </row>
    <row r="13" spans="1:13" ht="19.5">
      <c r="A13" s="345"/>
      <c r="B13" s="361" t="s">
        <v>1130</v>
      </c>
      <c r="C13" s="359"/>
      <c r="D13" s="359"/>
      <c r="E13" s="360"/>
      <c r="F13" s="360"/>
    </row>
    <row r="14" spans="1:13" ht="15" customHeight="1">
      <c r="A14" s="345"/>
      <c r="B14" s="363"/>
      <c r="C14" s="359"/>
      <c r="D14" s="359"/>
      <c r="E14" s="360"/>
      <c r="F14" s="360"/>
    </row>
    <row r="15" spans="1:13" ht="15" customHeight="1">
      <c r="A15" s="345"/>
      <c r="B15" s="363"/>
      <c r="C15" s="359"/>
      <c r="D15" s="359"/>
      <c r="E15" s="360"/>
      <c r="F15" s="360"/>
    </row>
    <row r="16" spans="1:13" ht="19.5">
      <c r="A16" s="364"/>
      <c r="B16" s="365"/>
      <c r="C16" s="366"/>
      <c r="D16" s="366"/>
      <c r="E16" s="367"/>
      <c r="F16" s="368"/>
    </row>
    <row r="17" spans="1:6" ht="19.5">
      <c r="A17" s="369" t="s">
        <v>14</v>
      </c>
      <c r="B17" s="370"/>
      <c r="C17" s="370"/>
      <c r="D17" s="370"/>
      <c r="E17" s="371"/>
      <c r="F17" s="372">
        <f>SUM(F8:F16)</f>
        <v>2580</v>
      </c>
    </row>
    <row r="18" spans="1:6" ht="19.5">
      <c r="A18" s="369" t="s">
        <v>15</v>
      </c>
      <c r="B18" s="370"/>
      <c r="C18" s="370"/>
      <c r="D18" s="370"/>
      <c r="E18" s="371"/>
      <c r="F18" s="372">
        <f>+F17*9%</f>
        <v>232.2</v>
      </c>
    </row>
    <row r="19" spans="1:6" ht="19.5">
      <c r="A19" s="369" t="s">
        <v>16</v>
      </c>
      <c r="B19" s="370"/>
      <c r="C19" s="370"/>
      <c r="D19" s="370"/>
      <c r="E19" s="371"/>
      <c r="F19" s="372">
        <f>+F17*9%</f>
        <v>232.2</v>
      </c>
    </row>
    <row r="20" spans="1:6" ht="19.5">
      <c r="A20" s="373" t="s">
        <v>17</v>
      </c>
      <c r="B20" s="374"/>
      <c r="C20" s="374"/>
      <c r="D20" s="374"/>
      <c r="E20" s="375"/>
      <c r="F20" s="376">
        <f>SUM(F17:F19)</f>
        <v>3044.3999999999996</v>
      </c>
    </row>
    <row r="21" spans="1:6" ht="39.75" customHeight="1">
      <c r="A21" s="377" t="s">
        <v>1134</v>
      </c>
      <c r="B21" s="378"/>
      <c r="C21" s="378"/>
      <c r="D21" s="378"/>
      <c r="E21" s="378"/>
      <c r="F21" s="379"/>
    </row>
    <row r="22" spans="1:6">
      <c r="A22" s="380" t="s">
        <v>18</v>
      </c>
      <c r="B22" s="381"/>
      <c r="C22" s="382"/>
      <c r="D22" s="383"/>
      <c r="E22" s="383"/>
      <c r="F22" s="384"/>
    </row>
    <row r="23" spans="1:6">
      <c r="A23" s="385" t="s">
        <v>1135</v>
      </c>
      <c r="B23" s="386"/>
      <c r="C23" s="387"/>
      <c r="D23" s="386"/>
      <c r="E23" s="386"/>
      <c r="F23" s="388"/>
    </row>
    <row r="24" spans="1:6">
      <c r="A24" s="389" t="s">
        <v>1136</v>
      </c>
      <c r="B24" s="390"/>
      <c r="C24" s="387"/>
      <c r="D24" s="386"/>
      <c r="E24" s="386"/>
      <c r="F24" s="388"/>
    </row>
    <row r="25" spans="1:6">
      <c r="A25" s="389" t="s">
        <v>1137</v>
      </c>
      <c r="B25" s="391"/>
      <c r="C25" s="392"/>
      <c r="D25" s="393"/>
      <c r="E25" s="393"/>
      <c r="F25" s="394"/>
    </row>
    <row r="26" spans="1:6" ht="19.7" customHeight="1">
      <c r="A26" s="395" t="s">
        <v>26</v>
      </c>
      <c r="B26" s="396"/>
      <c r="C26" s="396"/>
      <c r="D26" s="396"/>
      <c r="E26" s="396"/>
      <c r="F26" s="397"/>
    </row>
    <row r="27" spans="1:6" ht="20.45" customHeight="1">
      <c r="A27" s="398" t="s">
        <v>27</v>
      </c>
      <c r="B27" s="399"/>
      <c r="C27" s="399"/>
      <c r="D27" s="399"/>
      <c r="E27" s="399"/>
      <c r="F27" s="400"/>
    </row>
  </sheetData>
  <mergeCells count="20">
    <mergeCell ref="A26:F26"/>
    <mergeCell ref="A27:F27"/>
    <mergeCell ref="A23:B23"/>
    <mergeCell ref="C23:F23"/>
    <mergeCell ref="A24:B24"/>
    <mergeCell ref="C24:F24"/>
    <mergeCell ref="A25:B25"/>
    <mergeCell ref="C25:F25"/>
    <mergeCell ref="A18:E18"/>
    <mergeCell ref="A19:E19"/>
    <mergeCell ref="A20:E20"/>
    <mergeCell ref="A21:F21"/>
    <mergeCell ref="A22:B22"/>
    <mergeCell ref="C22:F22"/>
    <mergeCell ref="A17:E17"/>
    <mergeCell ref="A2:F2"/>
    <mergeCell ref="C3:F3"/>
    <mergeCell ref="C4:F4"/>
    <mergeCell ref="C5:F5"/>
    <mergeCell ref="A1:F1"/>
  </mergeCells>
  <hyperlinks>
    <hyperlink ref="B4" r:id="rId1" display="https://www.google.com/maps/search/No.+102,+Bommasandra-Jigani+Link+Road,+Anekal?entry=gmail&amp;source=g" xr:uid="{B9C6FAD7-8F54-4FA0-B68D-FF89332C2B5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0BF1-6164-4220-8AEE-5D7059B0316B}">
  <dimension ref="A1:L35"/>
  <sheetViews>
    <sheetView topLeftCell="A4" workbookViewId="0">
      <selection activeCell="B18" sqref="B18"/>
    </sheetView>
  </sheetViews>
  <sheetFormatPr defaultRowHeight="15"/>
  <cols>
    <col min="1" max="1" width="5.28515625" customWidth="1"/>
    <col min="2" max="2" width="58.7109375" customWidth="1"/>
    <col min="3" max="3" width="4.7109375" customWidth="1"/>
    <col min="4" max="4" width="5.140625" customWidth="1"/>
    <col min="5" max="5" width="10.140625" customWidth="1"/>
    <col min="6" max="6" width="11.42578125" customWidth="1"/>
  </cols>
  <sheetData>
    <row r="1" spans="1:12" ht="117"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1106</v>
      </c>
      <c r="D3" s="255"/>
      <c r="E3" s="255"/>
      <c r="F3" s="256"/>
    </row>
    <row r="4" spans="1:12" ht="29.25" customHeight="1">
      <c r="A4" s="6"/>
      <c r="B4" s="7" t="s">
        <v>8</v>
      </c>
      <c r="C4" s="254" t="s">
        <v>1107</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4.25" customHeight="1">
      <c r="A7" s="52"/>
      <c r="B7" s="59"/>
      <c r="C7" s="75"/>
      <c r="D7" s="75"/>
      <c r="E7" s="74"/>
      <c r="F7" s="74"/>
    </row>
    <row r="8" spans="1:12" ht="19.7" customHeight="1">
      <c r="A8" s="6">
        <v>1</v>
      </c>
      <c r="B8" s="147" t="s">
        <v>1118</v>
      </c>
      <c r="C8" s="3"/>
      <c r="D8" s="3"/>
      <c r="E8" s="69"/>
      <c r="F8" s="69"/>
    </row>
    <row r="9" spans="1:12" ht="19.149999999999999" customHeight="1">
      <c r="A9" s="6"/>
      <c r="B9" s="147" t="s">
        <v>1124</v>
      </c>
      <c r="C9" s="3"/>
      <c r="D9" s="3"/>
      <c r="E9" s="69"/>
      <c r="F9" s="69"/>
    </row>
    <row r="10" spans="1:12" ht="19.149999999999999" customHeight="1">
      <c r="A10" s="6">
        <v>2</v>
      </c>
      <c r="B10" s="244" t="s">
        <v>1120</v>
      </c>
      <c r="C10" s="3"/>
      <c r="D10" s="3"/>
      <c r="E10" s="69"/>
      <c r="F10" s="69"/>
    </row>
    <row r="11" spans="1:12" ht="19.149999999999999" customHeight="1">
      <c r="A11" s="6"/>
      <c r="B11" s="147" t="s">
        <v>1121</v>
      </c>
      <c r="C11" s="3"/>
      <c r="D11" s="3"/>
      <c r="E11" s="69"/>
      <c r="F11" s="69"/>
    </row>
    <row r="12" spans="1:12" ht="19.149999999999999" customHeight="1">
      <c r="A12" s="6">
        <v>3</v>
      </c>
      <c r="B12" s="244" t="s">
        <v>1122</v>
      </c>
      <c r="C12" s="3"/>
      <c r="D12" s="3"/>
      <c r="E12" s="69"/>
      <c r="F12" s="69"/>
    </row>
    <row r="13" spans="1:12" ht="19.149999999999999" customHeight="1">
      <c r="A13" s="6"/>
      <c r="B13" s="147" t="s">
        <v>1123</v>
      </c>
      <c r="C13" s="3"/>
      <c r="D13" s="3"/>
      <c r="E13" s="69"/>
      <c r="F13" s="69"/>
    </row>
    <row r="14" spans="1:12" ht="18.399999999999999" customHeight="1">
      <c r="A14" s="6">
        <v>4</v>
      </c>
      <c r="B14" s="244" t="s">
        <v>1119</v>
      </c>
      <c r="C14" s="3"/>
      <c r="D14" s="3"/>
      <c r="E14" s="69"/>
      <c r="F14" s="69"/>
    </row>
    <row r="15" spans="1:12" ht="18" customHeight="1">
      <c r="A15" s="6"/>
      <c r="B15" s="60" t="s">
        <v>1125</v>
      </c>
      <c r="C15" s="3"/>
      <c r="D15" s="3"/>
      <c r="E15" s="69"/>
      <c r="F15" s="69"/>
    </row>
    <row r="16" spans="1:12" ht="18" customHeight="1">
      <c r="A16" s="6"/>
      <c r="B16" s="234"/>
      <c r="C16" s="3"/>
      <c r="D16" s="3"/>
      <c r="E16" s="69"/>
      <c r="F16" s="69"/>
    </row>
    <row r="17" spans="1:6" ht="18" customHeight="1">
      <c r="A17" s="6"/>
      <c r="B17" s="245"/>
      <c r="C17" s="3"/>
      <c r="D17" s="3"/>
      <c r="E17" s="69"/>
      <c r="F17" s="69"/>
    </row>
    <row r="18" spans="1:6" ht="18" customHeight="1">
      <c r="A18" s="6"/>
      <c r="B18" s="181"/>
      <c r="C18" s="68"/>
      <c r="D18" s="3"/>
      <c r="E18" s="69"/>
      <c r="F18" s="69"/>
    </row>
    <row r="19" spans="1:6" ht="18" customHeight="1">
      <c r="A19" s="6"/>
      <c r="B19" s="7"/>
      <c r="C19" s="68"/>
      <c r="D19" s="3"/>
      <c r="E19" s="69"/>
      <c r="F19" s="69"/>
    </row>
    <row r="20" spans="1:6" ht="18" customHeight="1">
      <c r="A20" s="6"/>
      <c r="B20" s="7"/>
      <c r="C20" s="68"/>
      <c r="D20" s="3"/>
      <c r="E20" s="69"/>
      <c r="F20" s="69"/>
    </row>
    <row r="21" spans="1:6" ht="18" customHeight="1">
      <c r="A21" s="6"/>
      <c r="B21" s="7"/>
      <c r="C21" s="68"/>
      <c r="D21" s="3"/>
      <c r="E21" s="69"/>
      <c r="F21" s="69"/>
    </row>
    <row r="22" spans="1:6" ht="18" customHeight="1">
      <c r="A22" s="6"/>
      <c r="B22" s="196"/>
      <c r="C22" s="68"/>
      <c r="D22" s="3"/>
      <c r="E22" s="69"/>
      <c r="F22" s="69"/>
    </row>
    <row r="23" spans="1:6" ht="18" customHeight="1">
      <c r="A23" s="6"/>
      <c r="B23" s="7"/>
      <c r="C23" s="68"/>
      <c r="D23" s="3"/>
      <c r="E23" s="69"/>
      <c r="F23" s="69"/>
    </row>
    <row r="24" spans="1:6" ht="32.65" customHeight="1">
      <c r="A24" s="104"/>
      <c r="B24" s="192"/>
      <c r="C24" s="193"/>
      <c r="D24" s="35"/>
      <c r="E24" s="82"/>
      <c r="F24" s="82"/>
    </row>
    <row r="25" spans="1:6" ht="15.75">
      <c r="A25" s="287" t="s">
        <v>14</v>
      </c>
      <c r="B25" s="288"/>
      <c r="C25" s="288"/>
      <c r="D25" s="288"/>
      <c r="E25" s="289"/>
      <c r="F25" s="173">
        <f>SUM(F8:F24)</f>
        <v>0</v>
      </c>
    </row>
    <row r="26" spans="1:6" ht="15.75">
      <c r="A26" s="246" t="s">
        <v>15</v>
      </c>
      <c r="B26" s="247"/>
      <c r="C26" s="247"/>
      <c r="D26" s="247"/>
      <c r="E26" s="248"/>
      <c r="F26" s="83">
        <f>+F25*9%</f>
        <v>0</v>
      </c>
    </row>
    <row r="27" spans="1:6" ht="15.75">
      <c r="A27" s="246" t="s">
        <v>16</v>
      </c>
      <c r="B27" s="247"/>
      <c r="C27" s="247"/>
      <c r="D27" s="247"/>
      <c r="E27" s="248"/>
      <c r="F27" s="83">
        <f>+F25*9%</f>
        <v>0</v>
      </c>
    </row>
    <row r="28" spans="1:6" ht="17.45" customHeight="1">
      <c r="A28" s="260" t="s">
        <v>17</v>
      </c>
      <c r="B28" s="261"/>
      <c r="C28" s="261"/>
      <c r="D28" s="261"/>
      <c r="E28" s="262"/>
      <c r="F28" s="84">
        <f>SUM(F25:F27)</f>
        <v>0</v>
      </c>
    </row>
    <row r="29" spans="1:6" ht="33" customHeight="1">
      <c r="A29" s="263" t="s">
        <v>1105</v>
      </c>
      <c r="B29" s="264"/>
      <c r="C29" s="264"/>
      <c r="D29" s="264"/>
      <c r="E29" s="264"/>
      <c r="F29" s="265"/>
    </row>
    <row r="30" spans="1:6" ht="15" customHeight="1">
      <c r="A30" s="266" t="s">
        <v>18</v>
      </c>
      <c r="B30" s="267"/>
      <c r="C30" s="268" t="s">
        <v>19</v>
      </c>
      <c r="D30" s="269"/>
      <c r="E30" s="269"/>
      <c r="F30" s="270"/>
    </row>
    <row r="31" spans="1:6" ht="15" customHeight="1">
      <c r="A31" s="277" t="s">
        <v>20</v>
      </c>
      <c r="B31" s="278"/>
      <c r="C31" s="279" t="s">
        <v>21</v>
      </c>
      <c r="D31" s="278"/>
      <c r="E31" s="278"/>
      <c r="F31" s="280"/>
    </row>
    <row r="32" spans="1:6" ht="15" customHeight="1">
      <c r="A32" s="279" t="s">
        <v>876</v>
      </c>
      <c r="B32" s="278"/>
      <c r="C32" s="279" t="s">
        <v>23</v>
      </c>
      <c r="D32" s="278"/>
      <c r="E32" s="278"/>
      <c r="F32" s="280"/>
    </row>
    <row r="33" spans="1:6" ht="15" customHeight="1">
      <c r="A33" s="277" t="s">
        <v>22</v>
      </c>
      <c r="B33" s="278"/>
      <c r="C33" s="284" t="s">
        <v>25</v>
      </c>
      <c r="D33" s="285"/>
      <c r="E33" s="285"/>
      <c r="F33" s="286"/>
    </row>
    <row r="34" spans="1:6" ht="27" customHeight="1">
      <c r="A34" s="271" t="s">
        <v>26</v>
      </c>
      <c r="B34" s="272"/>
      <c r="C34" s="272"/>
      <c r="D34" s="272"/>
      <c r="E34" s="272"/>
      <c r="F34" s="273"/>
    </row>
    <row r="35" spans="1:6" ht="26.45" customHeight="1">
      <c r="A35" s="274" t="s">
        <v>27</v>
      </c>
      <c r="B35" s="275"/>
      <c r="C35" s="275"/>
      <c r="D35" s="275"/>
      <c r="E35" s="275"/>
      <c r="F35" s="276"/>
    </row>
  </sheetData>
  <mergeCells count="20">
    <mergeCell ref="A25:E25"/>
    <mergeCell ref="B1:F1"/>
    <mergeCell ref="A2:F2"/>
    <mergeCell ref="C3:F3"/>
    <mergeCell ref="C4:F4"/>
    <mergeCell ref="C5:F5"/>
    <mergeCell ref="A26:E26"/>
    <mergeCell ref="A27:E27"/>
    <mergeCell ref="A28:E28"/>
    <mergeCell ref="A29:F29"/>
    <mergeCell ref="A30:B30"/>
    <mergeCell ref="C30:F30"/>
    <mergeCell ref="A34:F34"/>
    <mergeCell ref="A35:F35"/>
    <mergeCell ref="A31:B31"/>
    <mergeCell ref="C31:F31"/>
    <mergeCell ref="A32:B32"/>
    <mergeCell ref="C32:F32"/>
    <mergeCell ref="A33:B33"/>
    <mergeCell ref="C33:F3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FA45-E7C0-46DA-A1FD-75C802E088E2}">
  <dimension ref="A1:M27"/>
  <sheetViews>
    <sheetView workbookViewId="0">
      <selection activeCell="I11" sqref="I11"/>
    </sheetView>
  </sheetViews>
  <sheetFormatPr defaultRowHeight="15"/>
  <cols>
    <col min="1" max="1" width="5.28515625" customWidth="1"/>
    <col min="2" max="2" width="46.85546875" customWidth="1"/>
    <col min="3" max="3" width="5" customWidth="1"/>
    <col min="4" max="4" width="5.28515625" customWidth="1"/>
    <col min="5" max="5" width="12.42578125" customWidth="1"/>
    <col min="6" max="6" width="11.140625" customWidth="1"/>
  </cols>
  <sheetData>
    <row r="1" spans="1:13" ht="105.95" customHeight="1">
      <c r="A1" s="219"/>
      <c r="B1" s="249" t="s">
        <v>984</v>
      </c>
      <c r="C1" s="249"/>
      <c r="D1" s="249"/>
      <c r="E1" s="249"/>
      <c r="F1" s="250"/>
    </row>
    <row r="2" spans="1:13" ht="18" customHeight="1">
      <c r="A2" s="251" t="s">
        <v>6</v>
      </c>
      <c r="B2" s="252"/>
      <c r="C2" s="252"/>
      <c r="D2" s="252"/>
      <c r="E2" s="252"/>
      <c r="F2" s="253"/>
    </row>
    <row r="3" spans="1:13" ht="17.25">
      <c r="A3" s="4" t="s">
        <v>7</v>
      </c>
      <c r="B3" s="5" t="s">
        <v>1110</v>
      </c>
      <c r="C3" s="254" t="s">
        <v>1108</v>
      </c>
      <c r="D3" s="255"/>
      <c r="E3" s="255"/>
      <c r="F3" s="256"/>
    </row>
    <row r="4" spans="1:13" ht="29.25" customHeight="1">
      <c r="A4" s="6"/>
      <c r="B4" s="243" t="s">
        <v>1112</v>
      </c>
      <c r="C4" s="254" t="s">
        <v>1107</v>
      </c>
      <c r="D4" s="255"/>
      <c r="E4" s="255"/>
      <c r="F4" s="256"/>
    </row>
    <row r="5" spans="1:13" ht="16.5" customHeight="1">
      <c r="A5" s="8"/>
      <c r="B5" s="2" t="s">
        <v>1111</v>
      </c>
      <c r="C5" s="257" t="s">
        <v>9</v>
      </c>
      <c r="D5" s="258"/>
      <c r="E5" s="258"/>
      <c r="F5" s="259"/>
    </row>
    <row r="6" spans="1:13" ht="16.5">
      <c r="A6" s="9" t="s">
        <v>3</v>
      </c>
      <c r="B6" s="9" t="s">
        <v>4</v>
      </c>
      <c r="C6" s="9" t="s">
        <v>5</v>
      </c>
      <c r="D6" s="9" t="s">
        <v>10</v>
      </c>
      <c r="E6" s="9" t="s">
        <v>11</v>
      </c>
      <c r="F6" s="9" t="s">
        <v>12</v>
      </c>
      <c r="L6" s="177"/>
    </row>
    <row r="7" spans="1:13" ht="16.350000000000001" customHeight="1">
      <c r="A7" s="52"/>
      <c r="B7" s="59"/>
      <c r="C7" s="75"/>
      <c r="D7" s="75"/>
      <c r="E7" s="74"/>
      <c r="F7" s="74"/>
    </row>
    <row r="8" spans="1:13" ht="14.25" customHeight="1">
      <c r="A8" s="6">
        <v>1</v>
      </c>
      <c r="B8" s="50" t="s">
        <v>1109</v>
      </c>
      <c r="C8" s="68">
        <v>1</v>
      </c>
      <c r="D8" s="68" t="s">
        <v>60</v>
      </c>
      <c r="E8" s="69">
        <v>43850</v>
      </c>
      <c r="F8" s="69">
        <f t="shared" ref="F8" si="0">C8*E8</f>
        <v>43850</v>
      </c>
    </row>
    <row r="9" spans="1:13" ht="17.100000000000001" customHeight="1">
      <c r="A9" s="6"/>
      <c r="B9" s="108" t="s">
        <v>1115</v>
      </c>
      <c r="C9" s="68"/>
      <c r="D9" s="68"/>
      <c r="E9" s="69"/>
      <c r="F9" s="69"/>
    </row>
    <row r="10" spans="1:13" ht="15.6" customHeight="1">
      <c r="A10" s="6"/>
      <c r="B10" s="7"/>
      <c r="C10" s="68"/>
      <c r="D10" s="68"/>
      <c r="E10" s="69"/>
      <c r="F10" s="69"/>
      <c r="M10" t="s">
        <v>68</v>
      </c>
    </row>
    <row r="11" spans="1:13" ht="19.149999999999999" customHeight="1">
      <c r="A11" s="6"/>
      <c r="B11" s="238"/>
      <c r="C11" s="68"/>
      <c r="D11" s="68"/>
      <c r="E11" s="69"/>
      <c r="F11" s="69"/>
    </row>
    <row r="12" spans="1:13" ht="17.100000000000001" customHeight="1">
      <c r="A12" s="6"/>
      <c r="B12" s="239"/>
      <c r="C12" s="68"/>
      <c r="D12" s="68"/>
      <c r="E12" s="69"/>
      <c r="F12" s="69"/>
    </row>
    <row r="13" spans="1:13" ht="15" customHeight="1">
      <c r="A13" s="6"/>
      <c r="B13" s="7"/>
      <c r="C13" s="68"/>
      <c r="D13" s="68"/>
      <c r="E13" s="69"/>
      <c r="F13" s="69"/>
    </row>
    <row r="14" spans="1:13" ht="15" customHeight="1">
      <c r="A14" s="6"/>
      <c r="B14" s="7"/>
      <c r="C14" s="68"/>
      <c r="D14" s="68"/>
      <c r="E14" s="69"/>
      <c r="F14" s="69"/>
    </row>
    <row r="15" spans="1:13" ht="15" customHeight="1">
      <c r="A15" s="6"/>
      <c r="B15" s="7"/>
      <c r="C15" s="68"/>
      <c r="D15" s="68"/>
      <c r="E15" s="69"/>
      <c r="F15" s="69"/>
    </row>
    <row r="16" spans="1:13" ht="9.6" customHeight="1">
      <c r="A16" s="104"/>
      <c r="B16" s="166"/>
      <c r="C16" s="80"/>
      <c r="D16" s="80"/>
      <c r="E16" s="106"/>
      <c r="F16" s="82"/>
    </row>
    <row r="17" spans="1:6" ht="15" customHeight="1">
      <c r="A17" s="246" t="s">
        <v>14</v>
      </c>
      <c r="B17" s="247"/>
      <c r="C17" s="247"/>
      <c r="D17" s="247"/>
      <c r="E17" s="248"/>
      <c r="F17" s="83">
        <f>SUM(F8:F16)</f>
        <v>43850</v>
      </c>
    </row>
    <row r="18" spans="1:6" ht="15" customHeight="1">
      <c r="A18" s="246" t="s">
        <v>15</v>
      </c>
      <c r="B18" s="247"/>
      <c r="C18" s="247"/>
      <c r="D18" s="247"/>
      <c r="E18" s="248"/>
      <c r="F18" s="83">
        <f>+F17*9%</f>
        <v>3946.5</v>
      </c>
    </row>
    <row r="19" spans="1:6" ht="15" customHeight="1">
      <c r="A19" s="246" t="s">
        <v>16</v>
      </c>
      <c r="B19" s="247"/>
      <c r="C19" s="247"/>
      <c r="D19" s="247"/>
      <c r="E19" s="248"/>
      <c r="F19" s="83">
        <f>+F17*9%</f>
        <v>3946.5</v>
      </c>
    </row>
    <row r="20" spans="1:6" ht="15" customHeight="1">
      <c r="A20" s="260" t="s">
        <v>17</v>
      </c>
      <c r="B20" s="261"/>
      <c r="C20" s="261"/>
      <c r="D20" s="261"/>
      <c r="E20" s="262"/>
      <c r="F20" s="84">
        <f>SUM(F17:F19)</f>
        <v>51743</v>
      </c>
    </row>
    <row r="21" spans="1:6" ht="31.35" customHeight="1">
      <c r="A21" s="263" t="s">
        <v>1113</v>
      </c>
      <c r="B21" s="264"/>
      <c r="C21" s="264"/>
      <c r="D21" s="264"/>
      <c r="E21" s="264"/>
      <c r="F21" s="265"/>
    </row>
    <row r="22" spans="1:6" ht="15" customHeight="1">
      <c r="A22" s="266" t="s">
        <v>18</v>
      </c>
      <c r="B22" s="267"/>
      <c r="C22" s="268"/>
      <c r="D22" s="269"/>
      <c r="E22" s="269"/>
      <c r="F22" s="270"/>
    </row>
    <row r="23" spans="1:6" ht="15" customHeight="1">
      <c r="A23" s="277" t="s">
        <v>1114</v>
      </c>
      <c r="B23" s="278"/>
      <c r="C23" s="279"/>
      <c r="D23" s="278"/>
      <c r="E23" s="278"/>
      <c r="F23" s="280"/>
    </row>
    <row r="24" spans="1:6" ht="15" customHeight="1">
      <c r="A24" s="281" t="s">
        <v>1116</v>
      </c>
      <c r="B24" s="282"/>
      <c r="C24" s="279"/>
      <c r="D24" s="278"/>
      <c r="E24" s="278"/>
      <c r="F24" s="280"/>
    </row>
    <row r="25" spans="1:6" ht="15" customHeight="1">
      <c r="A25" s="281" t="s">
        <v>1117</v>
      </c>
      <c r="B25" s="283"/>
      <c r="C25" s="284"/>
      <c r="D25" s="285"/>
      <c r="E25" s="285"/>
      <c r="F25" s="286"/>
    </row>
    <row r="26" spans="1:6" ht="19.7" customHeight="1">
      <c r="A26" s="271" t="s">
        <v>26</v>
      </c>
      <c r="B26" s="272"/>
      <c r="C26" s="272"/>
      <c r="D26" s="272"/>
      <c r="E26" s="272"/>
      <c r="F26" s="273"/>
    </row>
    <row r="27" spans="1:6" ht="20.45" customHeight="1">
      <c r="A27" s="274" t="s">
        <v>27</v>
      </c>
      <c r="B27" s="275"/>
      <c r="C27" s="275"/>
      <c r="D27" s="275"/>
      <c r="E27" s="275"/>
      <c r="F27" s="276"/>
    </row>
  </sheetData>
  <mergeCells count="20">
    <mergeCell ref="A26:F26"/>
    <mergeCell ref="A27:F27"/>
    <mergeCell ref="A23:B23"/>
    <mergeCell ref="C23:F23"/>
    <mergeCell ref="A24:B24"/>
    <mergeCell ref="C24:F24"/>
    <mergeCell ref="A25:B25"/>
    <mergeCell ref="C25:F25"/>
    <mergeCell ref="A18:E18"/>
    <mergeCell ref="A19:E19"/>
    <mergeCell ref="A20:E20"/>
    <mergeCell ref="A21:F21"/>
    <mergeCell ref="A22:B22"/>
    <mergeCell ref="C22:F22"/>
    <mergeCell ref="A17:E17"/>
    <mergeCell ref="B1:F1"/>
    <mergeCell ref="A2:F2"/>
    <mergeCell ref="C3:F3"/>
    <mergeCell ref="C4:F4"/>
    <mergeCell ref="C5:F5"/>
  </mergeCells>
  <hyperlinks>
    <hyperlink ref="B4" r:id="rId1" display="https://www.google.com/maps/search/No.+102,+Bommasandra-Jigani+Link+Road,+Anekal?entry=gmail&amp;source=g" xr:uid="{1354E6ED-ADE1-46A3-90EB-66D6E429B70F}"/>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4AA8-211B-47BD-B529-AFEC3AC584BB}">
  <dimension ref="A1:L56"/>
  <sheetViews>
    <sheetView topLeftCell="A37" workbookViewId="0">
      <selection activeCell="L38" sqref="L38"/>
    </sheetView>
  </sheetViews>
  <sheetFormatPr defaultRowHeight="15"/>
  <cols>
    <col min="1" max="1" width="5.28515625" customWidth="1"/>
    <col min="2" max="2" width="52.5703125" customWidth="1"/>
    <col min="3" max="3" width="4.7109375" customWidth="1"/>
    <col min="4" max="4" width="5.140625" customWidth="1"/>
    <col min="5" max="5" width="10.140625" customWidth="1"/>
    <col min="6" max="6" width="11.42578125" customWidth="1"/>
  </cols>
  <sheetData>
    <row r="1" spans="1:12" ht="117"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1106</v>
      </c>
      <c r="D3" s="255"/>
      <c r="E3" s="255"/>
      <c r="F3" s="256"/>
    </row>
    <row r="4" spans="1:12" ht="29.25" customHeight="1">
      <c r="A4" s="6"/>
      <c r="B4" s="7" t="s">
        <v>8</v>
      </c>
      <c r="C4" s="254" t="s">
        <v>1107</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4.25" customHeight="1">
      <c r="A7" s="52"/>
      <c r="B7" s="59"/>
      <c r="C7" s="75"/>
      <c r="D7" s="75"/>
      <c r="E7" s="74"/>
      <c r="F7" s="74"/>
    </row>
    <row r="8" spans="1:12" ht="18" customHeight="1">
      <c r="A8" s="6"/>
      <c r="B8" s="178" t="s">
        <v>814</v>
      </c>
      <c r="C8" s="3"/>
      <c r="D8" s="3"/>
      <c r="E8" s="69"/>
      <c r="F8" s="69"/>
    </row>
    <row r="9" spans="1:12" ht="18" customHeight="1">
      <c r="A9" s="6"/>
      <c r="B9" s="178" t="s">
        <v>1070</v>
      </c>
      <c r="C9" s="3"/>
      <c r="D9" s="3"/>
      <c r="E9" s="69"/>
      <c r="F9" s="69"/>
    </row>
    <row r="10" spans="1:12" ht="18" customHeight="1">
      <c r="A10" s="6">
        <v>1</v>
      </c>
      <c r="B10" s="195" t="s">
        <v>1067</v>
      </c>
      <c r="C10" s="3">
        <v>50</v>
      </c>
      <c r="D10" s="3" t="s">
        <v>723</v>
      </c>
      <c r="E10" s="69">
        <v>685</v>
      </c>
      <c r="F10" s="69">
        <f>C10*E10</f>
        <v>34250</v>
      </c>
    </row>
    <row r="11" spans="1:12" ht="18" customHeight="1">
      <c r="A11" s="6">
        <v>2</v>
      </c>
      <c r="B11" s="7" t="s">
        <v>133</v>
      </c>
      <c r="C11" s="3">
        <v>50</v>
      </c>
      <c r="D11" s="3" t="s">
        <v>723</v>
      </c>
      <c r="E11" s="69">
        <v>250</v>
      </c>
      <c r="F11" s="69">
        <f>C11*E11</f>
        <v>12500</v>
      </c>
    </row>
    <row r="12" spans="1:12" ht="18" customHeight="1">
      <c r="A12" s="6">
        <v>3</v>
      </c>
      <c r="B12" s="7" t="s">
        <v>1066</v>
      </c>
      <c r="C12" s="68">
        <v>25</v>
      </c>
      <c r="D12" s="3" t="s">
        <v>723</v>
      </c>
      <c r="E12" s="69">
        <v>685</v>
      </c>
      <c r="F12" s="69">
        <f t="shared" ref="F12:F44" si="0">C12*E12</f>
        <v>17125</v>
      </c>
    </row>
    <row r="13" spans="1:12" ht="18" customHeight="1">
      <c r="A13" s="6">
        <v>4</v>
      </c>
      <c r="B13" s="7" t="s">
        <v>133</v>
      </c>
      <c r="C13" s="68">
        <v>25</v>
      </c>
      <c r="D13" s="3" t="s">
        <v>723</v>
      </c>
      <c r="E13" s="69">
        <v>250</v>
      </c>
      <c r="F13" s="69">
        <f t="shared" si="0"/>
        <v>6250</v>
      </c>
    </row>
    <row r="14" spans="1:12" ht="18" customHeight="1">
      <c r="A14" s="6">
        <v>5</v>
      </c>
      <c r="B14" s="7" t="s">
        <v>1068</v>
      </c>
      <c r="C14" s="68">
        <v>15</v>
      </c>
      <c r="D14" s="3" t="s">
        <v>723</v>
      </c>
      <c r="E14" s="69">
        <v>685</v>
      </c>
      <c r="F14" s="69">
        <f t="shared" si="0"/>
        <v>10275</v>
      </c>
    </row>
    <row r="15" spans="1:12" ht="18" customHeight="1">
      <c r="A15" s="6">
        <v>6</v>
      </c>
      <c r="B15" s="7" t="s">
        <v>133</v>
      </c>
      <c r="C15" s="68">
        <v>15</v>
      </c>
      <c r="D15" s="3" t="s">
        <v>723</v>
      </c>
      <c r="E15" s="69">
        <v>250</v>
      </c>
      <c r="F15" s="69">
        <f t="shared" si="0"/>
        <v>3750</v>
      </c>
    </row>
    <row r="16" spans="1:12" ht="18" customHeight="1">
      <c r="A16" s="6">
        <v>7</v>
      </c>
      <c r="B16" s="196" t="s">
        <v>1069</v>
      </c>
      <c r="C16" s="68">
        <v>25</v>
      </c>
      <c r="D16" s="3" t="s">
        <v>723</v>
      </c>
      <c r="E16" s="69">
        <v>685</v>
      </c>
      <c r="F16" s="69">
        <f t="shared" si="0"/>
        <v>17125</v>
      </c>
    </row>
    <row r="17" spans="1:6" ht="18" customHeight="1">
      <c r="A17" s="6">
        <v>8</v>
      </c>
      <c r="B17" s="7" t="s">
        <v>133</v>
      </c>
      <c r="C17" s="68">
        <v>25</v>
      </c>
      <c r="D17" s="3" t="s">
        <v>723</v>
      </c>
      <c r="E17" s="69">
        <v>250</v>
      </c>
      <c r="F17" s="69">
        <f t="shared" si="0"/>
        <v>6250</v>
      </c>
    </row>
    <row r="18" spans="1:6" ht="32.65" customHeight="1">
      <c r="A18" s="6">
        <v>9</v>
      </c>
      <c r="B18" s="7" t="s">
        <v>880</v>
      </c>
      <c r="C18" s="68">
        <v>10</v>
      </c>
      <c r="D18" s="3" t="s">
        <v>723</v>
      </c>
      <c r="E18" s="69">
        <v>685</v>
      </c>
      <c r="F18" s="69">
        <f t="shared" si="0"/>
        <v>6850</v>
      </c>
    </row>
    <row r="19" spans="1:6" ht="21.75" customHeight="1">
      <c r="A19" s="6">
        <v>10</v>
      </c>
      <c r="B19" s="181" t="s">
        <v>133</v>
      </c>
      <c r="C19" s="6">
        <v>10</v>
      </c>
      <c r="D19" s="52" t="s">
        <v>723</v>
      </c>
      <c r="E19" s="69">
        <v>250</v>
      </c>
      <c r="F19" s="69">
        <f t="shared" si="0"/>
        <v>2500</v>
      </c>
    </row>
    <row r="20" spans="1:6" ht="19.7" customHeight="1">
      <c r="A20" s="6"/>
      <c r="B20" s="234" t="s">
        <v>1071</v>
      </c>
      <c r="C20" s="68"/>
      <c r="D20" s="3"/>
      <c r="E20" s="69"/>
      <c r="F20" s="69"/>
    </row>
    <row r="21" spans="1:6" ht="19.7" customHeight="1">
      <c r="A21" s="6">
        <v>11</v>
      </c>
      <c r="B21" s="7" t="s">
        <v>1079</v>
      </c>
      <c r="C21" s="68">
        <v>5</v>
      </c>
      <c r="D21" s="3" t="s">
        <v>13</v>
      </c>
      <c r="E21" s="69">
        <v>100</v>
      </c>
      <c r="F21" s="69">
        <f t="shared" si="0"/>
        <v>500</v>
      </c>
    </row>
    <row r="22" spans="1:6" ht="19.7" customHeight="1">
      <c r="A22" s="6">
        <v>12</v>
      </c>
      <c r="B22" s="7" t="s">
        <v>1080</v>
      </c>
      <c r="C22" s="68">
        <v>2</v>
      </c>
      <c r="D22" s="3" t="s">
        <v>13</v>
      </c>
      <c r="E22" s="69">
        <v>375</v>
      </c>
      <c r="F22" s="69">
        <f t="shared" si="0"/>
        <v>750</v>
      </c>
    </row>
    <row r="23" spans="1:6" ht="19.7" customHeight="1">
      <c r="A23" s="6">
        <v>13</v>
      </c>
      <c r="B23" s="7" t="s">
        <v>1082</v>
      </c>
      <c r="C23" s="68">
        <v>2</v>
      </c>
      <c r="D23" s="3" t="s">
        <v>13</v>
      </c>
      <c r="E23" s="69">
        <v>125</v>
      </c>
      <c r="F23" s="69">
        <f t="shared" si="0"/>
        <v>250</v>
      </c>
    </row>
    <row r="24" spans="1:6" ht="19.7" customHeight="1">
      <c r="A24" s="6">
        <v>14</v>
      </c>
      <c r="B24" s="7" t="s">
        <v>1074</v>
      </c>
      <c r="C24" s="68">
        <v>10</v>
      </c>
      <c r="D24" s="3" t="s">
        <v>13</v>
      </c>
      <c r="E24" s="69">
        <v>160</v>
      </c>
      <c r="F24" s="69">
        <f t="shared" si="0"/>
        <v>1600</v>
      </c>
    </row>
    <row r="25" spans="1:6" ht="19.7" customHeight="1">
      <c r="A25" s="6">
        <v>15</v>
      </c>
      <c r="B25" s="7" t="s">
        <v>1075</v>
      </c>
      <c r="C25" s="68">
        <v>3</v>
      </c>
      <c r="D25" s="3" t="s">
        <v>13</v>
      </c>
      <c r="E25" s="69">
        <v>750</v>
      </c>
      <c r="F25" s="69">
        <f t="shared" si="0"/>
        <v>2250</v>
      </c>
    </row>
    <row r="26" spans="1:6" ht="19.7" customHeight="1">
      <c r="A26" s="6">
        <v>16</v>
      </c>
      <c r="B26" s="7" t="s">
        <v>817</v>
      </c>
      <c r="C26" s="68">
        <v>5</v>
      </c>
      <c r="D26" s="3" t="s">
        <v>13</v>
      </c>
      <c r="E26" s="69">
        <v>500</v>
      </c>
      <c r="F26" s="69">
        <f t="shared" si="0"/>
        <v>2500</v>
      </c>
    </row>
    <row r="27" spans="1:6" ht="19.7" customHeight="1">
      <c r="A27" s="6">
        <v>17</v>
      </c>
      <c r="B27" s="7" t="s">
        <v>1081</v>
      </c>
      <c r="C27" s="68">
        <v>3</v>
      </c>
      <c r="D27" s="3" t="s">
        <v>13</v>
      </c>
      <c r="E27" s="69">
        <v>225</v>
      </c>
      <c r="F27" s="69">
        <f t="shared" si="0"/>
        <v>675</v>
      </c>
    </row>
    <row r="28" spans="1:6" ht="19.7" customHeight="1">
      <c r="A28" s="6">
        <v>18</v>
      </c>
      <c r="B28" s="7" t="s">
        <v>1073</v>
      </c>
      <c r="C28" s="68">
        <v>6</v>
      </c>
      <c r="D28" s="3" t="s">
        <v>13</v>
      </c>
      <c r="E28" s="69">
        <v>350</v>
      </c>
      <c r="F28" s="69">
        <f t="shared" si="0"/>
        <v>2100</v>
      </c>
    </row>
    <row r="29" spans="1:6" ht="19.7" customHeight="1">
      <c r="A29" s="104">
        <v>19</v>
      </c>
      <c r="B29" s="192" t="s">
        <v>1077</v>
      </c>
      <c r="C29" s="193">
        <v>2</v>
      </c>
      <c r="D29" s="35" t="s">
        <v>13</v>
      </c>
      <c r="E29" s="82">
        <v>1500</v>
      </c>
      <c r="F29" s="82">
        <f t="shared" si="0"/>
        <v>3000</v>
      </c>
    </row>
    <row r="30" spans="1:6" ht="19.7" customHeight="1">
      <c r="A30" s="197">
        <v>20</v>
      </c>
      <c r="B30" s="235" t="s">
        <v>741</v>
      </c>
      <c r="C30" s="199">
        <v>4</v>
      </c>
      <c r="D30" s="40" t="s">
        <v>13</v>
      </c>
      <c r="E30" s="200">
        <v>2250</v>
      </c>
      <c r="F30" s="200">
        <f t="shared" si="0"/>
        <v>9000</v>
      </c>
    </row>
    <row r="31" spans="1:6" ht="19.7" customHeight="1">
      <c r="A31" s="6">
        <v>21</v>
      </c>
      <c r="B31" s="7" t="s">
        <v>1076</v>
      </c>
      <c r="C31" s="68">
        <v>6</v>
      </c>
      <c r="D31" s="3" t="s">
        <v>13</v>
      </c>
      <c r="E31" s="69">
        <v>180</v>
      </c>
      <c r="F31" s="69">
        <f t="shared" si="0"/>
        <v>1080</v>
      </c>
    </row>
    <row r="32" spans="1:6" ht="16.350000000000001" customHeight="1">
      <c r="A32" s="6">
        <v>22</v>
      </c>
      <c r="B32" s="7" t="s">
        <v>744</v>
      </c>
      <c r="C32" s="68">
        <v>2</v>
      </c>
      <c r="D32" s="3" t="s">
        <v>13</v>
      </c>
      <c r="E32" s="69">
        <v>875</v>
      </c>
      <c r="F32" s="69">
        <f t="shared" si="0"/>
        <v>1750</v>
      </c>
    </row>
    <row r="33" spans="1:6" ht="16.350000000000001" customHeight="1">
      <c r="A33" s="6">
        <v>23</v>
      </c>
      <c r="B33" s="7" t="s">
        <v>745</v>
      </c>
      <c r="C33" s="68">
        <v>10</v>
      </c>
      <c r="D33" s="3" t="s">
        <v>13</v>
      </c>
      <c r="E33" s="69">
        <v>375</v>
      </c>
      <c r="F33" s="69">
        <f t="shared" si="0"/>
        <v>3750</v>
      </c>
    </row>
    <row r="34" spans="1:6" ht="16.350000000000001" customHeight="1">
      <c r="A34" s="6">
        <v>24</v>
      </c>
      <c r="B34" s="7" t="s">
        <v>1078</v>
      </c>
      <c r="C34" s="68">
        <v>4</v>
      </c>
      <c r="D34" s="3" t="s">
        <v>13</v>
      </c>
      <c r="E34" s="69">
        <v>11375</v>
      </c>
      <c r="F34" s="69">
        <f t="shared" si="0"/>
        <v>45500</v>
      </c>
    </row>
    <row r="35" spans="1:6" ht="16.350000000000001" customHeight="1">
      <c r="A35" s="6">
        <v>25</v>
      </c>
      <c r="B35" s="7" t="s">
        <v>1072</v>
      </c>
      <c r="C35" s="68">
        <v>10</v>
      </c>
      <c r="D35" s="3" t="s">
        <v>60</v>
      </c>
      <c r="E35" s="69">
        <v>3125</v>
      </c>
      <c r="F35" s="69">
        <f t="shared" si="0"/>
        <v>31250</v>
      </c>
    </row>
    <row r="36" spans="1:6" ht="16.350000000000001" customHeight="1">
      <c r="A36" s="6"/>
      <c r="B36" s="180" t="s">
        <v>749</v>
      </c>
      <c r="C36" s="68"/>
      <c r="D36" s="3"/>
      <c r="E36" s="69"/>
      <c r="F36" s="69"/>
    </row>
    <row r="37" spans="1:6" ht="16.350000000000001" customHeight="1">
      <c r="A37" s="6">
        <v>26</v>
      </c>
      <c r="B37" s="7" t="s">
        <v>813</v>
      </c>
      <c r="C37" s="68">
        <v>50</v>
      </c>
      <c r="D37" s="3" t="s">
        <v>13</v>
      </c>
      <c r="E37" s="69">
        <v>1440</v>
      </c>
      <c r="F37" s="69">
        <f t="shared" si="0"/>
        <v>72000</v>
      </c>
    </row>
    <row r="38" spans="1:6" ht="16.350000000000001" customHeight="1">
      <c r="A38" s="6">
        <v>27</v>
      </c>
      <c r="B38" s="7" t="s">
        <v>133</v>
      </c>
      <c r="C38" s="68">
        <v>50</v>
      </c>
      <c r="D38" s="3" t="s">
        <v>13</v>
      </c>
      <c r="E38" s="69">
        <v>435</v>
      </c>
      <c r="F38" s="69">
        <f t="shared" si="0"/>
        <v>21750</v>
      </c>
    </row>
    <row r="39" spans="1:6" ht="16.350000000000001" customHeight="1">
      <c r="A39" s="6"/>
      <c r="B39" s="180" t="s">
        <v>750</v>
      </c>
      <c r="C39" s="68"/>
      <c r="D39" s="3"/>
      <c r="E39" s="69"/>
      <c r="F39" s="69"/>
    </row>
    <row r="40" spans="1:6" ht="16.350000000000001" customHeight="1">
      <c r="A40" s="6">
        <v>28</v>
      </c>
      <c r="B40" s="7" t="s">
        <v>751</v>
      </c>
      <c r="C40" s="68">
        <v>350</v>
      </c>
      <c r="D40" s="3" t="s">
        <v>723</v>
      </c>
      <c r="E40" s="69">
        <v>375</v>
      </c>
      <c r="F40" s="69">
        <f t="shared" si="0"/>
        <v>131250</v>
      </c>
    </row>
    <row r="41" spans="1:6" ht="19.149999999999999" customHeight="1">
      <c r="A41" s="6">
        <v>29</v>
      </c>
      <c r="B41" s="7" t="s">
        <v>754</v>
      </c>
      <c r="C41" s="68">
        <v>200</v>
      </c>
      <c r="D41" s="3" t="s">
        <v>13</v>
      </c>
      <c r="E41" s="69">
        <v>125</v>
      </c>
      <c r="F41" s="69">
        <f t="shared" si="0"/>
        <v>25000</v>
      </c>
    </row>
    <row r="42" spans="1:6" ht="17.100000000000001" customHeight="1">
      <c r="A42" s="6">
        <v>30</v>
      </c>
      <c r="B42" s="7" t="s">
        <v>873</v>
      </c>
      <c r="C42" s="68">
        <v>1</v>
      </c>
      <c r="D42" s="3" t="s">
        <v>60</v>
      </c>
      <c r="E42" s="69">
        <v>7500</v>
      </c>
      <c r="F42" s="69">
        <f t="shared" si="0"/>
        <v>7500</v>
      </c>
    </row>
    <row r="43" spans="1:6" ht="19.149999999999999" customHeight="1">
      <c r="A43" s="6">
        <v>31</v>
      </c>
      <c r="B43" s="7" t="s">
        <v>133</v>
      </c>
      <c r="C43" s="68">
        <v>100</v>
      </c>
      <c r="D43" s="3" t="s">
        <v>723</v>
      </c>
      <c r="E43" s="69">
        <v>435</v>
      </c>
      <c r="F43" s="69">
        <f t="shared" si="0"/>
        <v>43500</v>
      </c>
    </row>
    <row r="44" spans="1:6" ht="17.100000000000001" customHeight="1">
      <c r="A44" s="6">
        <v>32</v>
      </c>
      <c r="B44" s="7" t="s">
        <v>740</v>
      </c>
      <c r="C44" s="68">
        <v>1</v>
      </c>
      <c r="D44" s="3" t="s">
        <v>60</v>
      </c>
      <c r="E44" s="69">
        <v>14000</v>
      </c>
      <c r="F44" s="69">
        <f t="shared" si="0"/>
        <v>14000</v>
      </c>
    </row>
    <row r="45" spans="1:6" ht="15.95" customHeight="1">
      <c r="A45" s="104"/>
      <c r="B45" s="166"/>
      <c r="C45" s="80"/>
      <c r="D45" s="80"/>
      <c r="E45" s="106"/>
      <c r="F45" s="82"/>
    </row>
    <row r="46" spans="1:6" ht="15.75">
      <c r="A46" s="287" t="s">
        <v>14</v>
      </c>
      <c r="B46" s="288"/>
      <c r="C46" s="288"/>
      <c r="D46" s="288"/>
      <c r="E46" s="289"/>
      <c r="F46" s="173">
        <f>SUM(F8:F45)</f>
        <v>537830</v>
      </c>
    </row>
    <row r="47" spans="1:6" ht="15.75">
      <c r="A47" s="246" t="s">
        <v>15</v>
      </c>
      <c r="B47" s="247"/>
      <c r="C47" s="247"/>
      <c r="D47" s="247"/>
      <c r="E47" s="248"/>
      <c r="F47" s="83">
        <f>+F46*9%</f>
        <v>48404.7</v>
      </c>
    </row>
    <row r="48" spans="1:6" ht="15.75">
      <c r="A48" s="246" t="s">
        <v>16</v>
      </c>
      <c r="B48" s="247"/>
      <c r="C48" s="247"/>
      <c r="D48" s="247"/>
      <c r="E48" s="248"/>
      <c r="F48" s="83">
        <f>+F46*9%</f>
        <v>48404.7</v>
      </c>
    </row>
    <row r="49" spans="1:6" ht="17.45" customHeight="1">
      <c r="A49" s="260" t="s">
        <v>17</v>
      </c>
      <c r="B49" s="261"/>
      <c r="C49" s="261"/>
      <c r="D49" s="261"/>
      <c r="E49" s="262"/>
      <c r="F49" s="84">
        <f>SUM(F46:F48)</f>
        <v>634639.39999999991</v>
      </c>
    </row>
    <row r="50" spans="1:6" ht="33" customHeight="1">
      <c r="A50" s="263" t="s">
        <v>1105</v>
      </c>
      <c r="B50" s="264"/>
      <c r="C50" s="264"/>
      <c r="D50" s="264"/>
      <c r="E50" s="264"/>
      <c r="F50" s="265"/>
    </row>
    <row r="51" spans="1:6" ht="15" customHeight="1">
      <c r="A51" s="266" t="s">
        <v>18</v>
      </c>
      <c r="B51" s="267"/>
      <c r="C51" s="268" t="s">
        <v>19</v>
      </c>
      <c r="D51" s="269"/>
      <c r="E51" s="269"/>
      <c r="F51" s="270"/>
    </row>
    <row r="52" spans="1:6" ht="15" customHeight="1">
      <c r="A52" s="277" t="s">
        <v>20</v>
      </c>
      <c r="B52" s="278"/>
      <c r="C52" s="279" t="s">
        <v>21</v>
      </c>
      <c r="D52" s="278"/>
      <c r="E52" s="278"/>
      <c r="F52" s="280"/>
    </row>
    <row r="53" spans="1:6" ht="15" customHeight="1">
      <c r="A53" s="279" t="s">
        <v>876</v>
      </c>
      <c r="B53" s="278"/>
      <c r="C53" s="279" t="s">
        <v>23</v>
      </c>
      <c r="D53" s="278"/>
      <c r="E53" s="278"/>
      <c r="F53" s="280"/>
    </row>
    <row r="54" spans="1:6" ht="15" customHeight="1">
      <c r="A54" s="277" t="s">
        <v>22</v>
      </c>
      <c r="B54" s="278"/>
      <c r="C54" s="284" t="s">
        <v>25</v>
      </c>
      <c r="D54" s="285"/>
      <c r="E54" s="285"/>
      <c r="F54" s="286"/>
    </row>
    <row r="55" spans="1:6" ht="27" customHeight="1">
      <c r="A55" s="271" t="s">
        <v>26</v>
      </c>
      <c r="B55" s="272"/>
      <c r="C55" s="272"/>
      <c r="D55" s="272"/>
      <c r="E55" s="272"/>
      <c r="F55" s="273"/>
    </row>
    <row r="56" spans="1:6" ht="26.45" customHeight="1">
      <c r="A56" s="274" t="s">
        <v>27</v>
      </c>
      <c r="B56" s="275"/>
      <c r="C56" s="275"/>
      <c r="D56" s="275"/>
      <c r="E56" s="275"/>
      <c r="F56" s="276"/>
    </row>
  </sheetData>
  <mergeCells count="20">
    <mergeCell ref="A55:F55"/>
    <mergeCell ref="A56:F56"/>
    <mergeCell ref="A52:B52"/>
    <mergeCell ref="C52:F52"/>
    <mergeCell ref="A53:B53"/>
    <mergeCell ref="C53:F53"/>
    <mergeCell ref="A54:B54"/>
    <mergeCell ref="C54:F54"/>
    <mergeCell ref="A47:E47"/>
    <mergeCell ref="A48:E48"/>
    <mergeCell ref="A49:E49"/>
    <mergeCell ref="A50:F50"/>
    <mergeCell ref="A51:B51"/>
    <mergeCell ref="C51:F51"/>
    <mergeCell ref="A46:E46"/>
    <mergeCell ref="B1:F1"/>
    <mergeCell ref="A2:F2"/>
    <mergeCell ref="C3:F3"/>
    <mergeCell ref="C4:F4"/>
    <mergeCell ref="C5:F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BCFE-9C78-4A77-BFAA-044E76542F8A}">
  <dimension ref="A1:M28"/>
  <sheetViews>
    <sheetView topLeftCell="A4" workbookViewId="0">
      <selection activeCell="I28" sqref="I28"/>
    </sheetView>
  </sheetViews>
  <sheetFormatPr defaultRowHeight="15"/>
  <cols>
    <col min="1" max="1" width="5.28515625" customWidth="1"/>
    <col min="2" max="2" width="46.85546875" customWidth="1"/>
    <col min="3" max="3" width="5" customWidth="1"/>
    <col min="4" max="4" width="5.28515625" customWidth="1"/>
    <col min="5" max="5" width="10.28515625" customWidth="1"/>
    <col min="6" max="6" width="11.140625" customWidth="1"/>
  </cols>
  <sheetData>
    <row r="1" spans="1:13" ht="105.95" customHeight="1">
      <c r="A1" s="1"/>
      <c r="B1" s="290" t="s">
        <v>0</v>
      </c>
      <c r="C1" s="290"/>
      <c r="D1" s="290"/>
      <c r="E1" s="290"/>
      <c r="F1" s="291"/>
    </row>
    <row r="2" spans="1:13" ht="18" customHeight="1">
      <c r="A2" s="251" t="s">
        <v>6</v>
      </c>
      <c r="B2" s="252"/>
      <c r="C2" s="252"/>
      <c r="D2" s="252"/>
      <c r="E2" s="252"/>
      <c r="F2" s="253"/>
    </row>
    <row r="3" spans="1:13" ht="17.25">
      <c r="A3" s="4" t="s">
        <v>7</v>
      </c>
      <c r="B3" s="5" t="s">
        <v>1</v>
      </c>
      <c r="C3" s="254" t="s">
        <v>1085</v>
      </c>
      <c r="D3" s="255"/>
      <c r="E3" s="255"/>
      <c r="F3" s="256"/>
    </row>
    <row r="4" spans="1:13" ht="29.25" customHeight="1">
      <c r="A4" s="6"/>
      <c r="B4" s="7" t="s">
        <v>8</v>
      </c>
      <c r="C4" s="254" t="s">
        <v>1061</v>
      </c>
      <c r="D4" s="255"/>
      <c r="E4" s="255"/>
      <c r="F4" s="256"/>
    </row>
    <row r="5" spans="1:13" ht="16.5" customHeight="1">
      <c r="A5" s="8"/>
      <c r="B5" s="2" t="s">
        <v>2</v>
      </c>
      <c r="C5" s="257" t="s">
        <v>9</v>
      </c>
      <c r="D5" s="258"/>
      <c r="E5" s="258"/>
      <c r="F5" s="259"/>
    </row>
    <row r="6" spans="1:13" ht="16.5">
      <c r="A6" s="9" t="s">
        <v>3</v>
      </c>
      <c r="B6" s="9" t="s">
        <v>4</v>
      </c>
      <c r="C6" s="9" t="s">
        <v>5</v>
      </c>
      <c r="D6" s="9" t="s">
        <v>10</v>
      </c>
      <c r="E6" s="9" t="s">
        <v>11</v>
      </c>
      <c r="F6" s="9" t="s">
        <v>12</v>
      </c>
      <c r="L6" s="177"/>
    </row>
    <row r="7" spans="1:13" ht="28.5" customHeight="1">
      <c r="A7" s="52"/>
      <c r="B7" s="233" t="s">
        <v>1065</v>
      </c>
      <c r="C7" s="75"/>
      <c r="D7" s="75"/>
      <c r="E7" s="74"/>
      <c r="F7" s="74"/>
    </row>
    <row r="8" spans="1:13" ht="15" customHeight="1">
      <c r="A8" s="6">
        <v>1</v>
      </c>
      <c r="B8" s="50" t="s">
        <v>581</v>
      </c>
      <c r="C8" s="68">
        <v>1</v>
      </c>
      <c r="D8" s="68" t="s">
        <v>13</v>
      </c>
      <c r="E8" s="69">
        <v>115000</v>
      </c>
      <c r="F8" s="69">
        <f t="shared" ref="F8" si="0">C8*E8</f>
        <v>115000</v>
      </c>
    </row>
    <row r="9" spans="1:13" ht="15" customHeight="1">
      <c r="A9" s="6"/>
      <c r="B9" s="50" t="s">
        <v>578</v>
      </c>
      <c r="C9" s="68"/>
      <c r="D9" s="68"/>
      <c r="E9" s="69"/>
      <c r="F9" s="69"/>
    </row>
    <row r="10" spans="1:13" ht="15" customHeight="1">
      <c r="A10" s="6"/>
      <c r="B10" s="50" t="s">
        <v>579</v>
      </c>
      <c r="C10" s="68"/>
      <c r="D10" s="68"/>
      <c r="E10" s="69"/>
      <c r="F10" s="69"/>
    </row>
    <row r="11" spans="1:13" ht="15" customHeight="1">
      <c r="A11" s="6"/>
      <c r="B11" s="232" t="s">
        <v>1063</v>
      </c>
      <c r="C11" s="68"/>
      <c r="D11" s="3"/>
      <c r="E11" s="69"/>
      <c r="F11" s="69"/>
      <c r="M11" t="s">
        <v>68</v>
      </c>
    </row>
    <row r="12" spans="1:13" ht="15" customHeight="1">
      <c r="A12" s="6"/>
      <c r="B12" s="7" t="s">
        <v>1062</v>
      </c>
      <c r="C12" s="68"/>
      <c r="D12" s="3"/>
      <c r="E12" s="69"/>
      <c r="F12" s="69"/>
    </row>
    <row r="13" spans="1:13" ht="15" customHeight="1">
      <c r="A13" s="6"/>
      <c r="B13" s="7" t="s">
        <v>1064</v>
      </c>
      <c r="C13" s="68"/>
      <c r="D13" s="3"/>
      <c r="E13" s="69"/>
      <c r="F13" s="69"/>
    </row>
    <row r="14" spans="1:13" ht="15" customHeight="1">
      <c r="A14" s="6"/>
      <c r="B14" s="7"/>
      <c r="C14" s="68"/>
      <c r="D14" s="3"/>
      <c r="E14" s="69"/>
      <c r="F14" s="69"/>
    </row>
    <row r="15" spans="1:13" ht="15" customHeight="1">
      <c r="A15" s="6"/>
      <c r="B15" s="179"/>
      <c r="C15" s="68"/>
      <c r="D15" s="3"/>
      <c r="E15" s="69"/>
      <c r="F15" s="69"/>
    </row>
    <row r="16" spans="1:13" ht="15" customHeight="1">
      <c r="A16" s="104"/>
      <c r="B16" s="166"/>
      <c r="C16" s="80"/>
      <c r="D16" s="80"/>
      <c r="E16" s="106"/>
      <c r="F16" s="82"/>
    </row>
    <row r="17" spans="1:6" ht="15" customHeight="1">
      <c r="A17" s="68"/>
      <c r="B17" s="165"/>
      <c r="C17" s="236"/>
      <c r="D17" s="236"/>
      <c r="E17" s="237" t="s">
        <v>1083</v>
      </c>
      <c r="F17" s="69">
        <v>5000</v>
      </c>
    </row>
    <row r="18" spans="1:6" ht="15" customHeight="1">
      <c r="A18" s="246" t="s">
        <v>14</v>
      </c>
      <c r="B18" s="247"/>
      <c r="C18" s="247"/>
      <c r="D18" s="247"/>
      <c r="E18" s="248"/>
      <c r="F18" s="83">
        <v>110000</v>
      </c>
    </row>
    <row r="19" spans="1:6" ht="15" customHeight="1">
      <c r="A19" s="246" t="s">
        <v>15</v>
      </c>
      <c r="B19" s="247"/>
      <c r="C19" s="247"/>
      <c r="D19" s="247"/>
      <c r="E19" s="248"/>
      <c r="F19" s="83">
        <f>+F18*9%</f>
        <v>9900</v>
      </c>
    </row>
    <row r="20" spans="1:6" ht="15" customHeight="1">
      <c r="A20" s="246" t="s">
        <v>16</v>
      </c>
      <c r="B20" s="247"/>
      <c r="C20" s="247"/>
      <c r="D20" s="247"/>
      <c r="E20" s="248"/>
      <c r="F20" s="83">
        <f>+F18*9%</f>
        <v>9900</v>
      </c>
    </row>
    <row r="21" spans="1:6" ht="15" customHeight="1">
      <c r="A21" s="260" t="s">
        <v>17</v>
      </c>
      <c r="B21" s="261"/>
      <c r="C21" s="261"/>
      <c r="D21" s="261"/>
      <c r="E21" s="262"/>
      <c r="F21" s="84">
        <f>SUM(F18:F20)</f>
        <v>129800</v>
      </c>
    </row>
    <row r="22" spans="1:6" ht="31.35" customHeight="1">
      <c r="A22" s="263" t="s">
        <v>1084</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29F5-30EE-4DAC-9726-72EF70FE6A26}">
  <dimension ref="A1:L74"/>
  <sheetViews>
    <sheetView topLeftCell="A49" workbookViewId="0">
      <selection activeCell="N67" sqref="N67"/>
    </sheetView>
  </sheetViews>
  <sheetFormatPr defaultRowHeight="15"/>
  <cols>
    <col min="1" max="1" width="5.28515625" customWidth="1"/>
    <col min="2" max="2" width="53" customWidth="1"/>
    <col min="3" max="3" width="5.28515625" customWidth="1"/>
    <col min="4" max="4" width="5.42578125" customWidth="1"/>
    <col min="5" max="5" width="10.28515625" customWidth="1"/>
    <col min="6" max="6" width="11.140625" customWidth="1"/>
  </cols>
  <sheetData>
    <row r="1" spans="1:12" ht="101.85" customHeight="1">
      <c r="A1" s="1"/>
      <c r="B1" s="313" t="s">
        <v>0</v>
      </c>
      <c r="C1" s="290"/>
      <c r="D1" s="290"/>
      <c r="E1" s="290"/>
      <c r="F1" s="291"/>
    </row>
    <row r="2" spans="1:12" ht="18" customHeight="1">
      <c r="A2" s="251" t="s">
        <v>6</v>
      </c>
      <c r="B2" s="252"/>
      <c r="C2" s="252"/>
      <c r="D2" s="252"/>
      <c r="E2" s="252"/>
      <c r="F2" s="253"/>
    </row>
    <row r="3" spans="1:12" ht="17.25">
      <c r="A3" s="4" t="s">
        <v>7</v>
      </c>
      <c r="B3" s="5" t="s">
        <v>1</v>
      </c>
      <c r="C3" s="254" t="s">
        <v>1059</v>
      </c>
      <c r="D3" s="255"/>
      <c r="E3" s="255"/>
      <c r="F3" s="256"/>
    </row>
    <row r="4" spans="1:12" ht="29.25" customHeight="1">
      <c r="A4" s="6"/>
      <c r="B4" s="7" t="s">
        <v>8</v>
      </c>
      <c r="C4" s="254" t="s">
        <v>1021</v>
      </c>
      <c r="D4" s="255"/>
      <c r="E4" s="255"/>
      <c r="F4" s="256"/>
    </row>
    <row r="5" spans="1:12" ht="16.5" customHeight="1">
      <c r="A5" s="8"/>
      <c r="B5" s="2" t="s">
        <v>2</v>
      </c>
      <c r="C5" s="257" t="s">
        <v>9</v>
      </c>
      <c r="D5" s="258"/>
      <c r="E5" s="258"/>
      <c r="F5" s="259"/>
    </row>
    <row r="6" spans="1:12" ht="21.75" customHeight="1">
      <c r="A6" s="9" t="s">
        <v>3</v>
      </c>
      <c r="B6" s="9" t="s">
        <v>4</v>
      </c>
      <c r="C6" s="9" t="s">
        <v>5</v>
      </c>
      <c r="D6" s="9" t="s">
        <v>10</v>
      </c>
      <c r="E6" s="9" t="s">
        <v>11</v>
      </c>
      <c r="F6" s="9" t="s">
        <v>12</v>
      </c>
      <c r="L6" s="177"/>
    </row>
    <row r="7" spans="1:12" ht="22.5" customHeight="1">
      <c r="A7" s="74"/>
      <c r="B7" s="150" t="s">
        <v>1096</v>
      </c>
      <c r="C7" s="75"/>
      <c r="D7" s="75"/>
      <c r="E7" s="74"/>
      <c r="F7" s="74"/>
      <c r="L7" s="177"/>
    </row>
    <row r="8" spans="1:12" ht="74.099999999999994" customHeight="1">
      <c r="A8" s="74"/>
      <c r="B8" s="181" t="s">
        <v>1102</v>
      </c>
      <c r="C8" s="75"/>
      <c r="D8" s="75"/>
      <c r="E8" s="74"/>
      <c r="F8" s="74"/>
      <c r="L8" s="177"/>
    </row>
    <row r="9" spans="1:12" ht="15" customHeight="1">
      <c r="A9" s="6">
        <v>1</v>
      </c>
      <c r="B9" s="77" t="s">
        <v>1023</v>
      </c>
      <c r="C9" s="68">
        <v>1</v>
      </c>
      <c r="D9" s="68" t="s">
        <v>60</v>
      </c>
      <c r="E9" s="69">
        <v>345500</v>
      </c>
      <c r="F9" s="69">
        <f t="shared" ref="F9" si="0">C9*E9</f>
        <v>345500</v>
      </c>
      <c r="G9" s="224"/>
      <c r="L9" s="177"/>
    </row>
    <row r="10" spans="1:12" ht="15" customHeight="1">
      <c r="A10" s="6"/>
      <c r="B10" s="77" t="s">
        <v>41</v>
      </c>
      <c r="C10" s="68"/>
      <c r="D10" s="68"/>
      <c r="E10" s="6"/>
      <c r="F10" s="6"/>
      <c r="G10" s="224"/>
      <c r="L10" s="177"/>
    </row>
    <row r="11" spans="1:12" ht="15" customHeight="1">
      <c r="A11" s="6"/>
      <c r="B11" s="77" t="s">
        <v>1058</v>
      </c>
      <c r="C11" s="68"/>
      <c r="D11" s="68"/>
      <c r="E11" s="6"/>
      <c r="F11" s="6"/>
      <c r="G11" s="224"/>
      <c r="L11" s="177"/>
    </row>
    <row r="12" spans="1:12" ht="8.1" customHeight="1">
      <c r="A12" s="6"/>
      <c r="B12" s="6"/>
      <c r="C12" s="68"/>
      <c r="D12" s="68"/>
      <c r="E12" s="69"/>
      <c r="F12" s="69"/>
      <c r="G12" s="224"/>
      <c r="L12" s="177"/>
    </row>
    <row r="13" spans="1:12" ht="15.75">
      <c r="A13" s="6">
        <v>2</v>
      </c>
      <c r="B13" s="77" t="s">
        <v>1012</v>
      </c>
      <c r="C13" s="68">
        <v>1</v>
      </c>
      <c r="D13" s="68" t="s">
        <v>60</v>
      </c>
      <c r="E13" s="69">
        <v>175000</v>
      </c>
      <c r="F13" s="69">
        <f t="shared" ref="F13" si="1">C13*E13</f>
        <v>175000</v>
      </c>
      <c r="G13" s="224"/>
      <c r="L13" s="177"/>
    </row>
    <row r="14" spans="1:12" ht="89.1" customHeight="1">
      <c r="A14" s="6"/>
      <c r="B14" s="181" t="s">
        <v>1097</v>
      </c>
      <c r="C14" s="68"/>
      <c r="D14" s="68"/>
      <c r="E14" s="6"/>
      <c r="F14" s="6"/>
      <c r="G14" s="224"/>
      <c r="L14" s="177"/>
    </row>
    <row r="15" spans="1:12" ht="5.45" customHeight="1">
      <c r="A15" s="6"/>
      <c r="B15" s="181"/>
      <c r="C15" s="68"/>
      <c r="D15" s="68"/>
      <c r="E15" s="6"/>
      <c r="F15" s="6"/>
      <c r="G15" s="224"/>
      <c r="L15" s="177"/>
    </row>
    <row r="16" spans="1:12" ht="15.75">
      <c r="A16" s="6">
        <v>3</v>
      </c>
      <c r="B16" s="181" t="s">
        <v>1101</v>
      </c>
      <c r="C16" s="68">
        <v>1</v>
      </c>
      <c r="D16" s="68" t="s">
        <v>60</v>
      </c>
      <c r="E16" s="69">
        <v>35000</v>
      </c>
      <c r="F16" s="69">
        <f t="shared" ref="F16" si="2">C16*E16</f>
        <v>35000</v>
      </c>
      <c r="G16" s="224"/>
      <c r="L16" s="177"/>
    </row>
    <row r="17" spans="1:12" ht="9.6" customHeight="1">
      <c r="A17" s="6"/>
      <c r="B17" s="181"/>
      <c r="C17" s="68"/>
      <c r="D17" s="68"/>
      <c r="E17" s="69"/>
      <c r="F17" s="69"/>
      <c r="G17" s="224"/>
      <c r="L17" s="177"/>
    </row>
    <row r="18" spans="1:12" ht="15" customHeight="1">
      <c r="A18" s="6">
        <v>4</v>
      </c>
      <c r="B18" s="181" t="s">
        <v>1014</v>
      </c>
      <c r="C18" s="68">
        <v>2</v>
      </c>
      <c r="D18" s="68" t="s">
        <v>13</v>
      </c>
      <c r="E18" s="69">
        <v>35000</v>
      </c>
      <c r="F18" s="69">
        <f t="shared" ref="F18" si="3">C18*E18</f>
        <v>70000</v>
      </c>
      <c r="G18" s="224"/>
      <c r="L18" s="177"/>
    </row>
    <row r="19" spans="1:12" ht="15" customHeight="1">
      <c r="A19" s="6"/>
      <c r="B19" s="181" t="s">
        <v>1013</v>
      </c>
      <c r="C19" s="68"/>
      <c r="D19" s="68"/>
      <c r="E19" s="69"/>
      <c r="F19" s="69"/>
      <c r="G19" s="224"/>
      <c r="L19" s="177"/>
    </row>
    <row r="20" spans="1:12" ht="12.2" customHeight="1">
      <c r="A20" s="6"/>
      <c r="B20" s="181"/>
      <c r="C20" s="68"/>
      <c r="D20" s="6"/>
      <c r="E20" s="69"/>
      <c r="F20" s="69"/>
      <c r="G20" s="224"/>
      <c r="L20" s="177"/>
    </row>
    <row r="21" spans="1:12" ht="15" customHeight="1">
      <c r="A21" s="6">
        <v>5</v>
      </c>
      <c r="B21" s="225" t="s">
        <v>1060</v>
      </c>
      <c r="C21" s="6">
        <v>1</v>
      </c>
      <c r="D21" s="68" t="s">
        <v>60</v>
      </c>
      <c r="E21" s="69">
        <v>460500</v>
      </c>
      <c r="F21" s="69">
        <f t="shared" ref="F21" si="4">C21*E21</f>
        <v>460500</v>
      </c>
      <c r="G21" s="224"/>
    </row>
    <row r="22" spans="1:12" ht="15" customHeight="1">
      <c r="A22" s="6"/>
      <c r="B22" s="189" t="s">
        <v>1092</v>
      </c>
      <c r="C22" s="68"/>
      <c r="D22" s="68"/>
      <c r="E22" s="69"/>
      <c r="F22" s="69"/>
      <c r="G22" s="224"/>
    </row>
    <row r="23" spans="1:12" ht="15" customHeight="1">
      <c r="A23" s="6"/>
      <c r="B23" s="116" t="s">
        <v>1051</v>
      </c>
      <c r="C23" s="68"/>
      <c r="D23" s="68"/>
      <c r="E23" s="69"/>
      <c r="F23" s="69"/>
      <c r="G23" s="224"/>
    </row>
    <row r="24" spans="1:12" ht="15" customHeight="1">
      <c r="A24" s="6"/>
      <c r="B24" s="116" t="s">
        <v>1094</v>
      </c>
      <c r="C24" s="68"/>
      <c r="D24" s="68"/>
      <c r="E24" s="69"/>
      <c r="F24" s="69"/>
      <c r="G24" s="224"/>
    </row>
    <row r="25" spans="1:12" ht="15" customHeight="1">
      <c r="A25" s="6"/>
      <c r="B25" s="154" t="s">
        <v>1052</v>
      </c>
      <c r="C25" s="68"/>
      <c r="D25" s="68"/>
      <c r="E25" s="69"/>
      <c r="F25" s="69"/>
      <c r="G25" s="224"/>
    </row>
    <row r="26" spans="1:12" ht="15" customHeight="1">
      <c r="A26" s="6"/>
      <c r="B26" s="154" t="s">
        <v>1053</v>
      </c>
      <c r="C26" s="68"/>
      <c r="D26" s="68"/>
      <c r="E26" s="69"/>
      <c r="F26" s="69"/>
      <c r="G26" s="224"/>
    </row>
    <row r="27" spans="1:12" ht="15" customHeight="1">
      <c r="A27" s="6"/>
      <c r="B27" s="154" t="s">
        <v>1054</v>
      </c>
      <c r="C27" s="68"/>
      <c r="D27" s="68"/>
      <c r="E27" s="69"/>
      <c r="F27" s="69"/>
      <c r="G27" s="224"/>
    </row>
    <row r="28" spans="1:12" ht="15" customHeight="1">
      <c r="A28" s="6"/>
      <c r="B28" s="154" t="s">
        <v>1055</v>
      </c>
      <c r="C28" s="68"/>
      <c r="D28" s="68"/>
      <c r="E28" s="69"/>
      <c r="F28" s="69"/>
      <c r="G28" s="224"/>
    </row>
    <row r="29" spans="1:12" ht="15" customHeight="1">
      <c r="A29" s="104"/>
      <c r="B29" s="241" t="s">
        <v>1056</v>
      </c>
      <c r="C29" s="193"/>
      <c r="D29" s="193"/>
      <c r="E29" s="82"/>
      <c r="F29" s="82"/>
      <c r="G29" s="224"/>
    </row>
    <row r="30" spans="1:12" ht="15" customHeight="1">
      <c r="A30" s="197"/>
      <c r="B30" s="242" t="s">
        <v>1095</v>
      </c>
      <c r="C30" s="199"/>
      <c r="D30" s="199"/>
      <c r="E30" s="200"/>
      <c r="F30" s="200"/>
      <c r="G30" s="224"/>
    </row>
    <row r="31" spans="1:12" ht="15" customHeight="1">
      <c r="A31" s="6"/>
      <c r="B31" s="7" t="s">
        <v>1057</v>
      </c>
      <c r="C31" s="68"/>
      <c r="D31" s="68"/>
      <c r="E31" s="69"/>
      <c r="F31" s="69"/>
      <c r="G31" s="224"/>
    </row>
    <row r="32" spans="1:12" ht="15" customHeight="1">
      <c r="A32" s="6"/>
      <c r="B32" s="7" t="s">
        <v>1050</v>
      </c>
      <c r="C32" s="68"/>
      <c r="D32" s="68"/>
      <c r="E32" s="69"/>
      <c r="F32" s="69"/>
      <c r="G32" s="224"/>
    </row>
    <row r="33" spans="1:7" ht="15" customHeight="1">
      <c r="A33" s="6"/>
      <c r="B33" s="7" t="s">
        <v>1049</v>
      </c>
      <c r="C33" s="68"/>
      <c r="D33" s="68"/>
      <c r="E33" s="69"/>
      <c r="F33" s="69"/>
      <c r="G33" s="224"/>
    </row>
    <row r="34" spans="1:7" ht="15" customHeight="1">
      <c r="A34" s="6"/>
      <c r="B34" s="7" t="s">
        <v>1048</v>
      </c>
      <c r="C34" s="68"/>
      <c r="D34" s="68"/>
      <c r="E34" s="69"/>
      <c r="F34" s="69"/>
      <c r="G34" s="224"/>
    </row>
    <row r="35" spans="1:7" ht="15" customHeight="1">
      <c r="A35" s="6"/>
      <c r="B35" s="7" t="s">
        <v>1047</v>
      </c>
      <c r="C35" s="68"/>
      <c r="D35" s="68"/>
      <c r="E35" s="69"/>
      <c r="F35" s="69"/>
      <c r="G35" s="224"/>
    </row>
    <row r="36" spans="1:7" ht="8.1" customHeight="1">
      <c r="A36" s="6"/>
      <c r="B36" s="181"/>
      <c r="C36" s="68"/>
      <c r="D36" s="6"/>
      <c r="E36" s="69"/>
      <c r="F36" s="69"/>
      <c r="G36" s="224"/>
    </row>
    <row r="37" spans="1:7" ht="16.350000000000001" customHeight="1">
      <c r="A37" s="6"/>
      <c r="B37" s="240" t="s">
        <v>1026</v>
      </c>
      <c r="C37" s="6"/>
      <c r="D37" s="68"/>
      <c r="E37" s="69"/>
      <c r="F37" s="69"/>
      <c r="G37" s="224"/>
    </row>
    <row r="38" spans="1:7" ht="31.9" customHeight="1">
      <c r="A38" s="6"/>
      <c r="B38" s="180" t="s">
        <v>1099</v>
      </c>
      <c r="C38" s="68"/>
      <c r="D38" s="68"/>
      <c r="E38" s="69"/>
      <c r="F38" s="69"/>
      <c r="G38" s="224"/>
    </row>
    <row r="39" spans="1:7" ht="17.649999999999999" customHeight="1">
      <c r="A39" s="6">
        <v>6</v>
      </c>
      <c r="B39" s="7" t="s">
        <v>1027</v>
      </c>
      <c r="C39" s="68">
        <v>1</v>
      </c>
      <c r="D39" s="68" t="s">
        <v>60</v>
      </c>
      <c r="E39" s="69">
        <v>22500</v>
      </c>
      <c r="F39" s="69">
        <f t="shared" ref="F39" si="5">C39*E39</f>
        <v>22500</v>
      </c>
      <c r="G39" s="224"/>
    </row>
    <row r="40" spans="1:7" ht="48.2" customHeight="1">
      <c r="A40" s="6"/>
      <c r="B40" s="7" t="s">
        <v>1028</v>
      </c>
      <c r="C40" s="68"/>
      <c r="D40" s="68"/>
      <c r="E40" s="69"/>
      <c r="F40" s="69"/>
      <c r="G40" s="224"/>
    </row>
    <row r="41" spans="1:7" ht="8.1" customHeight="1">
      <c r="A41" s="6"/>
      <c r="B41" s="7"/>
      <c r="C41" s="68"/>
      <c r="D41" s="68"/>
      <c r="E41" s="69"/>
      <c r="F41" s="69"/>
      <c r="G41" s="224"/>
    </row>
    <row r="42" spans="1:7" ht="15.95" customHeight="1">
      <c r="A42" s="6">
        <v>7</v>
      </c>
      <c r="B42" s="7" t="s">
        <v>1024</v>
      </c>
      <c r="C42" s="68">
        <v>1</v>
      </c>
      <c r="D42" s="68" t="s">
        <v>60</v>
      </c>
      <c r="E42" s="69">
        <v>22500</v>
      </c>
      <c r="F42" s="69">
        <f t="shared" ref="F42" si="6">C42*E42</f>
        <v>22500</v>
      </c>
      <c r="G42" s="224"/>
    </row>
    <row r="43" spans="1:7" ht="15.95" customHeight="1">
      <c r="A43" s="6"/>
      <c r="B43" s="7" t="s">
        <v>1008</v>
      </c>
      <c r="C43" s="68"/>
      <c r="D43" s="68"/>
      <c r="E43" s="69"/>
      <c r="F43" s="69"/>
      <c r="G43" s="224"/>
    </row>
    <row r="44" spans="1:7" ht="8.85" customHeight="1">
      <c r="A44" s="6"/>
      <c r="B44" s="7"/>
      <c r="C44" s="68"/>
      <c r="D44" s="68"/>
      <c r="E44" s="69"/>
      <c r="F44" s="69"/>
      <c r="G44" s="224"/>
    </row>
    <row r="45" spans="1:7" ht="15.95" customHeight="1">
      <c r="A45" s="6">
        <v>8</v>
      </c>
      <c r="B45" s="114" t="s">
        <v>1015</v>
      </c>
      <c r="C45" s="68">
        <v>1</v>
      </c>
      <c r="D45" s="68" t="s">
        <v>60</v>
      </c>
      <c r="E45" s="69">
        <v>18750</v>
      </c>
      <c r="F45" s="69">
        <f t="shared" ref="F45" si="7">C45*E45</f>
        <v>18750</v>
      </c>
      <c r="G45" s="224"/>
    </row>
    <row r="46" spans="1:7" ht="17.649999999999999" customHeight="1">
      <c r="A46" s="6"/>
      <c r="B46" s="114" t="s">
        <v>1009</v>
      </c>
      <c r="C46" s="68"/>
      <c r="D46" s="68"/>
      <c r="E46" s="69"/>
      <c r="F46" s="69"/>
      <c r="G46" s="224"/>
    </row>
    <row r="47" spans="1:7" ht="8.85" customHeight="1">
      <c r="A47" s="6"/>
      <c r="B47" s="114"/>
      <c r="C47" s="68"/>
      <c r="D47" s="68"/>
      <c r="E47" s="69"/>
      <c r="F47" s="69"/>
      <c r="G47" s="224"/>
    </row>
    <row r="48" spans="1:7" ht="15.95" customHeight="1">
      <c r="A48" s="6">
        <v>9</v>
      </c>
      <c r="B48" s="181" t="s">
        <v>1016</v>
      </c>
      <c r="C48" s="6">
        <v>1</v>
      </c>
      <c r="D48" s="6" t="s">
        <v>60</v>
      </c>
      <c r="E48" s="69">
        <v>48000</v>
      </c>
      <c r="F48" s="69">
        <f t="shared" ref="F48" si="8">C48*E48</f>
        <v>48000</v>
      </c>
      <c r="G48" s="224"/>
    </row>
    <row r="49" spans="1:7" ht="46.15" customHeight="1">
      <c r="A49" s="6"/>
      <c r="B49" s="7" t="s">
        <v>1045</v>
      </c>
      <c r="C49" s="68"/>
      <c r="D49" s="68"/>
      <c r="E49" s="69"/>
      <c r="F49" s="69"/>
      <c r="G49" s="224"/>
    </row>
    <row r="50" spans="1:7" ht="6.2" customHeight="1">
      <c r="A50" s="6"/>
      <c r="B50" s="7"/>
      <c r="C50" s="68"/>
      <c r="D50" s="68"/>
      <c r="E50" s="69"/>
      <c r="F50" s="69"/>
      <c r="G50" s="224"/>
    </row>
    <row r="51" spans="1:7" ht="15.95" customHeight="1">
      <c r="A51" s="6">
        <v>10</v>
      </c>
      <c r="B51" s="7" t="s">
        <v>1017</v>
      </c>
      <c r="C51" s="68">
        <v>1</v>
      </c>
      <c r="D51" s="68" t="s">
        <v>60</v>
      </c>
      <c r="E51" s="69">
        <v>28750</v>
      </c>
      <c r="F51" s="69">
        <f t="shared" ref="F51" si="9">C51*E51</f>
        <v>28750</v>
      </c>
      <c r="G51" s="224"/>
    </row>
    <row r="52" spans="1:7" ht="6.75" customHeight="1">
      <c r="A52" s="6"/>
      <c r="B52" s="7"/>
      <c r="C52" s="68"/>
      <c r="D52" s="68"/>
      <c r="E52" s="69"/>
      <c r="F52" s="69"/>
      <c r="G52" s="224"/>
    </row>
    <row r="53" spans="1:7" ht="15.95" customHeight="1">
      <c r="A53" s="6">
        <v>11</v>
      </c>
      <c r="B53" s="220" t="s">
        <v>1018</v>
      </c>
      <c r="C53" s="68">
        <v>1</v>
      </c>
      <c r="D53" s="68" t="s">
        <v>60</v>
      </c>
      <c r="E53" s="69">
        <v>75800</v>
      </c>
      <c r="F53" s="69">
        <f t="shared" ref="F53" si="10">C53*E53</f>
        <v>75800</v>
      </c>
      <c r="G53" s="224"/>
    </row>
    <row r="54" spans="1:7" ht="15.95" customHeight="1">
      <c r="A54" s="6"/>
      <c r="B54" s="151" t="s">
        <v>1010</v>
      </c>
      <c r="C54" s="68"/>
      <c r="D54" s="68"/>
      <c r="E54" s="69"/>
      <c r="F54" s="69"/>
      <c r="G54" s="224"/>
    </row>
    <row r="55" spans="1:7" ht="15.95" customHeight="1">
      <c r="A55" s="6"/>
      <c r="B55" s="151" t="s">
        <v>1025</v>
      </c>
      <c r="C55" s="68"/>
      <c r="D55" s="68"/>
      <c r="E55" s="69"/>
      <c r="F55" s="69"/>
      <c r="G55" s="224"/>
    </row>
    <row r="56" spans="1:7" ht="7.5" customHeight="1">
      <c r="A56" s="6"/>
      <c r="B56" s="114"/>
      <c r="C56" s="68"/>
      <c r="D56" s="68"/>
      <c r="E56" s="69"/>
      <c r="F56" s="69"/>
      <c r="G56" s="224"/>
    </row>
    <row r="57" spans="1:7" ht="15.95" customHeight="1">
      <c r="A57" s="6">
        <v>12</v>
      </c>
      <c r="B57" s="181" t="s">
        <v>1011</v>
      </c>
      <c r="C57" s="6">
        <v>1</v>
      </c>
      <c r="D57" s="6" t="s">
        <v>60</v>
      </c>
      <c r="E57" s="69">
        <v>32500</v>
      </c>
      <c r="F57" s="69">
        <f t="shared" ref="F57:F58" si="11">C57*E57</f>
        <v>32500</v>
      </c>
      <c r="G57" s="224"/>
    </row>
    <row r="58" spans="1:7" ht="36" customHeight="1">
      <c r="A58" s="6">
        <v>13</v>
      </c>
      <c r="B58" s="7" t="s">
        <v>1098</v>
      </c>
      <c r="C58" s="6">
        <v>1</v>
      </c>
      <c r="D58" s="68" t="s">
        <v>60</v>
      </c>
      <c r="E58" s="69">
        <v>10500</v>
      </c>
      <c r="F58" s="69">
        <f t="shared" si="11"/>
        <v>10500</v>
      </c>
      <c r="G58" s="224"/>
    </row>
    <row r="59" spans="1:7" ht="28.5" customHeight="1">
      <c r="A59" s="6">
        <v>14</v>
      </c>
      <c r="B59" s="181" t="s">
        <v>1046</v>
      </c>
      <c r="C59" s="68">
        <v>1</v>
      </c>
      <c r="D59" s="68" t="s">
        <v>60</v>
      </c>
      <c r="E59" s="69">
        <v>350750</v>
      </c>
      <c r="F59" s="69">
        <f t="shared" ref="F59" si="12">C59*E59</f>
        <v>350750</v>
      </c>
      <c r="G59" s="224"/>
    </row>
    <row r="60" spans="1:7" ht="29.85" customHeight="1">
      <c r="A60" s="6"/>
      <c r="B60" s="7" t="s">
        <v>1093</v>
      </c>
      <c r="C60" s="6"/>
      <c r="D60" s="68"/>
      <c r="E60" s="69"/>
      <c r="F60" s="69"/>
      <c r="G60" s="224"/>
    </row>
    <row r="61" spans="1:7" ht="15.95" customHeight="1">
      <c r="A61" s="6">
        <v>15</v>
      </c>
      <c r="B61" s="77" t="s">
        <v>1030</v>
      </c>
      <c r="C61" s="68">
        <v>1</v>
      </c>
      <c r="D61" s="68" t="s">
        <v>60</v>
      </c>
      <c r="E61" s="69">
        <v>75000</v>
      </c>
      <c r="F61" s="69">
        <f t="shared" ref="F61" si="13">C61*E61</f>
        <v>75000</v>
      </c>
      <c r="G61" s="224"/>
    </row>
    <row r="62" spans="1:7" ht="15.95" customHeight="1">
      <c r="A62" s="6"/>
      <c r="B62" s="77" t="s">
        <v>1031</v>
      </c>
      <c r="C62" s="68"/>
      <c r="D62" s="68"/>
      <c r="E62" s="6"/>
      <c r="F62" s="6"/>
      <c r="G62" s="224"/>
    </row>
    <row r="63" spans="1:7" ht="10.9" customHeight="1">
      <c r="A63" s="104"/>
      <c r="B63" s="192"/>
      <c r="C63" s="104"/>
      <c r="D63" s="193"/>
      <c r="E63" s="82"/>
      <c r="F63" s="82"/>
      <c r="G63" s="224"/>
    </row>
    <row r="64" spans="1:7" ht="15" customHeight="1">
      <c r="A64" s="246" t="s">
        <v>14</v>
      </c>
      <c r="B64" s="247"/>
      <c r="C64" s="247"/>
      <c r="D64" s="247"/>
      <c r="E64" s="248"/>
      <c r="F64" s="83">
        <f>SUM(F7:F63)</f>
        <v>1771050</v>
      </c>
      <c r="G64" s="224"/>
    </row>
    <row r="65" spans="1:7" ht="15" customHeight="1">
      <c r="A65" s="246" t="s">
        <v>15</v>
      </c>
      <c r="B65" s="247"/>
      <c r="C65" s="247"/>
      <c r="D65" s="247"/>
      <c r="E65" s="248"/>
      <c r="F65" s="83">
        <f>+F64*9%</f>
        <v>159394.5</v>
      </c>
      <c r="G65" s="224"/>
    </row>
    <row r="66" spans="1:7" ht="15" customHeight="1">
      <c r="A66" s="246" t="s">
        <v>16</v>
      </c>
      <c r="B66" s="247"/>
      <c r="C66" s="247"/>
      <c r="D66" s="247"/>
      <c r="E66" s="248"/>
      <c r="F66" s="83">
        <f>+F64*9%</f>
        <v>159394.5</v>
      </c>
      <c r="G66" s="224"/>
    </row>
    <row r="67" spans="1:7" ht="15" customHeight="1">
      <c r="A67" s="304" t="s">
        <v>17</v>
      </c>
      <c r="B67" s="305"/>
      <c r="C67" s="305"/>
      <c r="D67" s="305"/>
      <c r="E67" s="306"/>
      <c r="F67" s="226">
        <f>SUM(F64:F66)</f>
        <v>2089839</v>
      </c>
      <c r="G67" s="224"/>
    </row>
    <row r="68" spans="1:7" ht="30.6" customHeight="1">
      <c r="A68" s="307" t="s">
        <v>1103</v>
      </c>
      <c r="B68" s="308"/>
      <c r="C68" s="308"/>
      <c r="D68" s="308"/>
      <c r="E68" s="308"/>
      <c r="F68" s="309"/>
      <c r="G68" s="224"/>
    </row>
    <row r="69" spans="1:7" ht="15" customHeight="1">
      <c r="A69" s="310" t="s">
        <v>18</v>
      </c>
      <c r="B69" s="311"/>
      <c r="C69" s="310" t="s">
        <v>19</v>
      </c>
      <c r="D69" s="312"/>
      <c r="E69" s="312"/>
      <c r="F69" s="311"/>
      <c r="G69" s="224"/>
    </row>
    <row r="70" spans="1:7" ht="15" customHeight="1">
      <c r="A70" s="298" t="s">
        <v>1019</v>
      </c>
      <c r="B70" s="299"/>
      <c r="C70" s="298" t="s">
        <v>21</v>
      </c>
      <c r="D70" s="300"/>
      <c r="E70" s="300"/>
      <c r="F70" s="299"/>
      <c r="G70" s="224"/>
    </row>
    <row r="71" spans="1:7" ht="15" customHeight="1">
      <c r="A71" s="298" t="s">
        <v>1020</v>
      </c>
      <c r="B71" s="299"/>
      <c r="C71" s="298" t="s">
        <v>23</v>
      </c>
      <c r="D71" s="300"/>
      <c r="E71" s="300"/>
      <c r="F71" s="299"/>
      <c r="G71" s="224"/>
    </row>
    <row r="72" spans="1:7" ht="15" customHeight="1">
      <c r="A72" s="301" t="s">
        <v>24</v>
      </c>
      <c r="B72" s="302"/>
      <c r="C72" s="301" t="s">
        <v>25</v>
      </c>
      <c r="D72" s="303"/>
      <c r="E72" s="303"/>
      <c r="F72" s="302"/>
      <c r="G72" s="224"/>
    </row>
    <row r="73" spans="1:7" ht="27" customHeight="1">
      <c r="A73" s="292" t="s">
        <v>26</v>
      </c>
      <c r="B73" s="293"/>
      <c r="C73" s="293"/>
      <c r="D73" s="293"/>
      <c r="E73" s="293"/>
      <c r="F73" s="294"/>
      <c r="G73" s="224"/>
    </row>
    <row r="74" spans="1:7" ht="21.75" customHeight="1">
      <c r="A74" s="295" t="s">
        <v>27</v>
      </c>
      <c r="B74" s="296"/>
      <c r="C74" s="296"/>
      <c r="D74" s="296"/>
      <c r="E74" s="296"/>
      <c r="F74" s="297"/>
      <c r="G74" s="224"/>
    </row>
  </sheetData>
  <mergeCells count="20">
    <mergeCell ref="A64:E64"/>
    <mergeCell ref="B1:F1"/>
    <mergeCell ref="A2:F2"/>
    <mergeCell ref="C3:F3"/>
    <mergeCell ref="C4:F4"/>
    <mergeCell ref="C5:F5"/>
    <mergeCell ref="A65:E65"/>
    <mergeCell ref="A66:E66"/>
    <mergeCell ref="A67:E67"/>
    <mergeCell ref="A68:F68"/>
    <mergeCell ref="A69:B69"/>
    <mergeCell ref="C69:F69"/>
    <mergeCell ref="A73:F73"/>
    <mergeCell ref="A74:F74"/>
    <mergeCell ref="A70:B70"/>
    <mergeCell ref="C70:F70"/>
    <mergeCell ref="A71:B71"/>
    <mergeCell ref="C71:F71"/>
    <mergeCell ref="A72:B72"/>
    <mergeCell ref="C72:F72"/>
  </mergeCells>
  <phoneticPr fontId="48"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388C5-EC30-4AED-AC7F-DA3519F71662}">
  <dimension ref="A1:M34"/>
  <sheetViews>
    <sheetView topLeftCell="A19" workbookViewId="0">
      <selection activeCell="L25" sqref="L25"/>
    </sheetView>
  </sheetViews>
  <sheetFormatPr defaultRowHeight="15"/>
  <cols>
    <col min="1" max="1" width="5.28515625" customWidth="1"/>
    <col min="2" max="2" width="46.85546875" customWidth="1"/>
    <col min="3" max="3" width="5" customWidth="1"/>
    <col min="4" max="4" width="5.28515625" customWidth="1"/>
    <col min="5" max="5" width="12.42578125" customWidth="1"/>
    <col min="6" max="6" width="11.140625" customWidth="1"/>
  </cols>
  <sheetData>
    <row r="1" spans="1:13" ht="105.95" customHeight="1">
      <c r="A1" s="219"/>
      <c r="B1" s="249" t="s">
        <v>984</v>
      </c>
      <c r="C1" s="249"/>
      <c r="D1" s="249"/>
      <c r="E1" s="249"/>
      <c r="F1" s="250"/>
    </row>
    <row r="2" spans="1:13" ht="18" customHeight="1">
      <c r="A2" s="251" t="s">
        <v>6</v>
      </c>
      <c r="B2" s="252"/>
      <c r="C2" s="252"/>
      <c r="D2" s="252"/>
      <c r="E2" s="252"/>
      <c r="F2" s="253"/>
    </row>
    <row r="3" spans="1:13" ht="17.25">
      <c r="A3" s="4" t="s">
        <v>7</v>
      </c>
      <c r="B3" s="5" t="s">
        <v>1</v>
      </c>
      <c r="C3" s="254" t="s">
        <v>1044</v>
      </c>
      <c r="D3" s="255"/>
      <c r="E3" s="255"/>
      <c r="F3" s="256"/>
    </row>
    <row r="4" spans="1:13" ht="29.25" customHeight="1">
      <c r="A4" s="6"/>
      <c r="B4" s="7" t="s">
        <v>8</v>
      </c>
      <c r="C4" s="254" t="s">
        <v>1090</v>
      </c>
      <c r="D4" s="255"/>
      <c r="E4" s="255"/>
      <c r="F4" s="256"/>
    </row>
    <row r="5" spans="1:13" ht="16.5" customHeight="1">
      <c r="A5" s="8"/>
      <c r="B5" s="2" t="s">
        <v>2</v>
      </c>
      <c r="C5" s="257" t="s">
        <v>9</v>
      </c>
      <c r="D5" s="258"/>
      <c r="E5" s="258"/>
      <c r="F5" s="259"/>
    </row>
    <row r="6" spans="1:13" ht="16.5">
      <c r="A6" s="9" t="s">
        <v>3</v>
      </c>
      <c r="B6" s="9" t="s">
        <v>4</v>
      </c>
      <c r="C6" s="9" t="s">
        <v>5</v>
      </c>
      <c r="D6" s="9" t="s">
        <v>10</v>
      </c>
      <c r="E6" s="9" t="s">
        <v>11</v>
      </c>
      <c r="F6" s="9" t="s">
        <v>12</v>
      </c>
      <c r="L6" s="177"/>
    </row>
    <row r="7" spans="1:13" ht="16.350000000000001" customHeight="1">
      <c r="A7" s="52"/>
      <c r="B7" s="59" t="s">
        <v>1091</v>
      </c>
      <c r="C7" s="75"/>
      <c r="D7" s="75"/>
      <c r="E7" s="74"/>
      <c r="F7" s="74"/>
    </row>
    <row r="8" spans="1:13" ht="14.25" customHeight="1">
      <c r="A8" s="6">
        <v>1</v>
      </c>
      <c r="B8" s="50" t="s">
        <v>1088</v>
      </c>
      <c r="C8" s="68">
        <v>4</v>
      </c>
      <c r="D8" s="68" t="s">
        <v>13</v>
      </c>
      <c r="E8" s="69">
        <v>138000</v>
      </c>
      <c r="F8" s="69">
        <f t="shared" ref="F8" si="0">C8*E8</f>
        <v>552000</v>
      </c>
    </row>
    <row r="9" spans="1:13" ht="17.100000000000001" customHeight="1">
      <c r="A9" s="6"/>
      <c r="B9" s="108" t="s">
        <v>1089</v>
      </c>
      <c r="C9" s="68"/>
      <c r="D9" s="68"/>
      <c r="E9" s="69"/>
      <c r="F9" s="69"/>
    </row>
    <row r="10" spans="1:13" ht="15.6" customHeight="1">
      <c r="A10" s="6">
        <v>2</v>
      </c>
      <c r="B10" s="7" t="s">
        <v>1087</v>
      </c>
      <c r="C10" s="68">
        <v>2</v>
      </c>
      <c r="D10" s="68" t="s">
        <v>60</v>
      </c>
      <c r="E10" s="69">
        <v>448500</v>
      </c>
      <c r="F10" s="69">
        <f t="shared" ref="F10" si="1">C10*E10</f>
        <v>897000</v>
      </c>
      <c r="M10" t="s">
        <v>68</v>
      </c>
    </row>
    <row r="11" spans="1:13" ht="32.65" customHeight="1">
      <c r="A11" s="6"/>
      <c r="B11" s="238" t="s">
        <v>1086</v>
      </c>
      <c r="C11" s="68"/>
      <c r="D11" s="68"/>
      <c r="E11" s="69"/>
      <c r="F11" s="69"/>
    </row>
    <row r="12" spans="1:13" ht="17.100000000000001" customHeight="1">
      <c r="A12" s="6"/>
      <c r="B12" s="239" t="s">
        <v>1100</v>
      </c>
      <c r="C12" s="68"/>
      <c r="D12" s="68"/>
      <c r="E12" s="69"/>
      <c r="F12" s="69"/>
    </row>
    <row r="13" spans="1:13" ht="15" customHeight="1">
      <c r="A13" s="6"/>
      <c r="B13" s="180" t="s">
        <v>1033</v>
      </c>
      <c r="C13" s="68"/>
      <c r="D13" s="68"/>
      <c r="E13" s="69"/>
      <c r="F13" s="69"/>
    </row>
    <row r="14" spans="1:13" ht="15" customHeight="1">
      <c r="A14" s="6"/>
      <c r="B14" s="7" t="s">
        <v>1032</v>
      </c>
      <c r="C14" s="68"/>
      <c r="D14" s="68"/>
      <c r="E14" s="69"/>
      <c r="F14" s="69"/>
    </row>
    <row r="15" spans="1:13" ht="15" customHeight="1">
      <c r="A15" s="6"/>
      <c r="B15" s="7" t="s">
        <v>1035</v>
      </c>
      <c r="C15" s="68"/>
      <c r="D15" s="68"/>
      <c r="E15" s="69"/>
      <c r="F15" s="69"/>
    </row>
    <row r="16" spans="1:13" ht="15" customHeight="1">
      <c r="A16" s="6"/>
      <c r="B16" s="7" t="s">
        <v>1036</v>
      </c>
      <c r="C16" s="68"/>
      <c r="D16" s="68"/>
      <c r="E16" s="69"/>
      <c r="F16" s="69"/>
    </row>
    <row r="17" spans="1:6" ht="15" customHeight="1">
      <c r="A17" s="6"/>
      <c r="B17" s="7" t="s">
        <v>1037</v>
      </c>
      <c r="C17" s="68"/>
      <c r="D17" s="68"/>
      <c r="E17" s="69"/>
      <c r="F17" s="69"/>
    </row>
    <row r="18" spans="1:6" ht="15" customHeight="1">
      <c r="A18" s="6"/>
      <c r="B18" s="7" t="s">
        <v>1038</v>
      </c>
      <c r="C18" s="68"/>
      <c r="D18" s="68"/>
      <c r="E18" s="69"/>
      <c r="F18" s="69"/>
    </row>
    <row r="19" spans="1:6" ht="15" customHeight="1">
      <c r="A19" s="6"/>
      <c r="B19" s="7" t="s">
        <v>1034</v>
      </c>
      <c r="C19" s="68"/>
      <c r="D19" s="68"/>
      <c r="E19" s="69"/>
      <c r="F19" s="69"/>
    </row>
    <row r="20" spans="1:6" ht="15" customHeight="1">
      <c r="A20" s="6"/>
      <c r="B20" s="7" t="s">
        <v>1039</v>
      </c>
      <c r="C20" s="68"/>
      <c r="D20" s="68"/>
      <c r="E20" s="69"/>
      <c r="F20" s="69"/>
    </row>
    <row r="21" spans="1:6" ht="15" customHeight="1">
      <c r="A21" s="6"/>
      <c r="B21" s="7" t="s">
        <v>1040</v>
      </c>
      <c r="C21" s="68"/>
      <c r="D21" s="68"/>
      <c r="E21" s="69"/>
      <c r="F21" s="69"/>
    </row>
    <row r="22" spans="1:6" ht="15" customHeight="1">
      <c r="A22" s="6"/>
      <c r="B22" s="7" t="s">
        <v>1041</v>
      </c>
      <c r="C22" s="68"/>
      <c r="D22" s="68"/>
      <c r="E22" s="69"/>
      <c r="F22" s="69"/>
    </row>
    <row r="23" spans="1:6" ht="9.6" customHeight="1">
      <c r="A23" s="104"/>
      <c r="B23" s="166"/>
      <c r="C23" s="80"/>
      <c r="D23" s="80"/>
      <c r="E23" s="106"/>
      <c r="F23" s="82"/>
    </row>
    <row r="24" spans="1:6" ht="15" customHeight="1">
      <c r="A24" s="246" t="s">
        <v>14</v>
      </c>
      <c r="B24" s="247"/>
      <c r="C24" s="247"/>
      <c r="D24" s="247"/>
      <c r="E24" s="248"/>
      <c r="F24" s="83">
        <f>SUM(F8:F23)</f>
        <v>1449000</v>
      </c>
    </row>
    <row r="25" spans="1:6" ht="15" customHeight="1">
      <c r="A25" s="246" t="s">
        <v>15</v>
      </c>
      <c r="B25" s="247"/>
      <c r="C25" s="247"/>
      <c r="D25" s="247"/>
      <c r="E25" s="248"/>
      <c r="F25" s="83">
        <f>+F24*9%</f>
        <v>130410</v>
      </c>
    </row>
    <row r="26" spans="1:6" ht="15" customHeight="1">
      <c r="A26" s="246" t="s">
        <v>16</v>
      </c>
      <c r="B26" s="247"/>
      <c r="C26" s="247"/>
      <c r="D26" s="247"/>
      <c r="E26" s="248"/>
      <c r="F26" s="83">
        <f>+F24*9%</f>
        <v>130410</v>
      </c>
    </row>
    <row r="27" spans="1:6" ht="15" customHeight="1">
      <c r="A27" s="260" t="s">
        <v>17</v>
      </c>
      <c r="B27" s="261"/>
      <c r="C27" s="261"/>
      <c r="D27" s="261"/>
      <c r="E27" s="262"/>
      <c r="F27" s="84">
        <f>SUM(F24:F26)</f>
        <v>1709820</v>
      </c>
    </row>
    <row r="28" spans="1:6" ht="31.35" customHeight="1">
      <c r="A28" s="263" t="s">
        <v>1104</v>
      </c>
      <c r="B28" s="264"/>
      <c r="C28" s="264"/>
      <c r="D28" s="264"/>
      <c r="E28" s="264"/>
      <c r="F28" s="265"/>
    </row>
    <row r="29" spans="1:6" ht="15" customHeight="1">
      <c r="A29" s="266" t="s">
        <v>18</v>
      </c>
      <c r="B29" s="267"/>
      <c r="C29" s="268" t="s">
        <v>19</v>
      </c>
      <c r="D29" s="269"/>
      <c r="E29" s="269"/>
      <c r="F29" s="270"/>
    </row>
    <row r="30" spans="1:6" ht="15" customHeight="1">
      <c r="A30" s="277" t="s">
        <v>20</v>
      </c>
      <c r="B30" s="278"/>
      <c r="C30" s="279" t="s">
        <v>21</v>
      </c>
      <c r="D30" s="278"/>
      <c r="E30" s="278"/>
      <c r="F30" s="280"/>
    </row>
    <row r="31" spans="1:6" ht="15" customHeight="1">
      <c r="A31" s="277" t="s">
        <v>22</v>
      </c>
      <c r="B31" s="278"/>
      <c r="C31" s="279" t="s">
        <v>23</v>
      </c>
      <c r="D31" s="278"/>
      <c r="E31" s="278"/>
      <c r="F31" s="280"/>
    </row>
    <row r="32" spans="1:6" ht="15" customHeight="1">
      <c r="A32" s="284" t="s">
        <v>24</v>
      </c>
      <c r="B32" s="285"/>
      <c r="C32" s="284" t="s">
        <v>25</v>
      </c>
      <c r="D32" s="285"/>
      <c r="E32" s="285"/>
      <c r="F32" s="286"/>
    </row>
    <row r="33" spans="1:6" ht="19.7" customHeight="1">
      <c r="A33" s="271" t="s">
        <v>26</v>
      </c>
      <c r="B33" s="272"/>
      <c r="C33" s="272"/>
      <c r="D33" s="272"/>
      <c r="E33" s="272"/>
      <c r="F33" s="273"/>
    </row>
    <row r="34" spans="1:6" ht="20.45" customHeight="1">
      <c r="A34" s="274" t="s">
        <v>27</v>
      </c>
      <c r="B34" s="275"/>
      <c r="C34" s="275"/>
      <c r="D34" s="275"/>
      <c r="E34" s="275"/>
      <c r="F34" s="276"/>
    </row>
  </sheetData>
  <mergeCells count="20">
    <mergeCell ref="A25:E25"/>
    <mergeCell ref="B1:F1"/>
    <mergeCell ref="A2:F2"/>
    <mergeCell ref="C3:F3"/>
    <mergeCell ref="C4:F4"/>
    <mergeCell ref="C5:F5"/>
    <mergeCell ref="A24:E24"/>
    <mergeCell ref="A26:E26"/>
    <mergeCell ref="A33:F33"/>
    <mergeCell ref="A34:F34"/>
    <mergeCell ref="C29:F29"/>
    <mergeCell ref="A29:B29"/>
    <mergeCell ref="A28:F28"/>
    <mergeCell ref="A27:E27"/>
    <mergeCell ref="A30:B30"/>
    <mergeCell ref="C30:F30"/>
    <mergeCell ref="A31:B31"/>
    <mergeCell ref="C31:F31"/>
    <mergeCell ref="A32:B32"/>
    <mergeCell ref="C32:F3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C7D75-DF00-41B4-92C5-A12664D755FE}">
  <dimension ref="A1:G26"/>
  <sheetViews>
    <sheetView topLeftCell="A10" workbookViewId="0">
      <selection activeCell="I26" sqref="I26"/>
    </sheetView>
  </sheetViews>
  <sheetFormatPr defaultRowHeight="15"/>
  <cols>
    <col min="1" max="1" width="5.5703125" customWidth="1"/>
    <col min="2" max="2" width="43.140625" customWidth="1"/>
    <col min="3" max="3" width="6.85546875" customWidth="1"/>
    <col min="4" max="4" width="5.28515625" customWidth="1"/>
    <col min="5" max="5" width="6.140625" customWidth="1"/>
    <col min="6" max="6" width="11.140625" customWidth="1"/>
    <col min="7" max="7" width="10.85546875" customWidth="1"/>
  </cols>
  <sheetData>
    <row r="1" spans="1:7" ht="117" customHeight="1">
      <c r="A1" s="1"/>
      <c r="B1" s="290" t="s">
        <v>0</v>
      </c>
      <c r="C1" s="290"/>
      <c r="D1" s="290"/>
      <c r="E1" s="290"/>
      <c r="F1" s="290"/>
      <c r="G1" s="291"/>
    </row>
    <row r="2" spans="1:7" ht="18" customHeight="1">
      <c r="A2" s="251" t="s">
        <v>6</v>
      </c>
      <c r="B2" s="252"/>
      <c r="C2" s="252"/>
      <c r="D2" s="252"/>
      <c r="E2" s="252"/>
      <c r="F2" s="252"/>
      <c r="G2" s="253"/>
    </row>
    <row r="3" spans="1:7" ht="17.25">
      <c r="A3" s="4" t="s">
        <v>7</v>
      </c>
      <c r="B3" s="5" t="s">
        <v>490</v>
      </c>
      <c r="C3" s="221"/>
      <c r="D3" s="254" t="s">
        <v>1022</v>
      </c>
      <c r="E3" s="255"/>
      <c r="F3" s="255"/>
      <c r="G3" s="256"/>
    </row>
    <row r="4" spans="1:7" ht="29.25" customHeight="1">
      <c r="A4" s="6"/>
      <c r="B4" s="7" t="s">
        <v>491</v>
      </c>
      <c r="C4" s="222"/>
      <c r="D4" s="254" t="s">
        <v>1021</v>
      </c>
      <c r="E4" s="255"/>
      <c r="F4" s="255"/>
      <c r="G4" s="256"/>
    </row>
    <row r="5" spans="1:7" ht="16.5" customHeight="1">
      <c r="A5" s="8"/>
      <c r="B5" s="2" t="s">
        <v>492</v>
      </c>
      <c r="C5" s="223"/>
      <c r="D5" s="257" t="s">
        <v>9</v>
      </c>
      <c r="E5" s="258"/>
      <c r="F5" s="258"/>
      <c r="G5" s="259"/>
    </row>
    <row r="6" spans="1:7" ht="16.5">
      <c r="A6" s="9" t="s">
        <v>3</v>
      </c>
      <c r="B6" s="9" t="s">
        <v>4</v>
      </c>
      <c r="C6" s="9" t="s">
        <v>1029</v>
      </c>
      <c r="D6" s="9" t="s">
        <v>5</v>
      </c>
      <c r="E6" s="9" t="s">
        <v>10</v>
      </c>
      <c r="F6" s="9" t="s">
        <v>11</v>
      </c>
      <c r="G6" s="9" t="s">
        <v>12</v>
      </c>
    </row>
    <row r="7" spans="1:7" ht="29.25" customHeight="1">
      <c r="A7" s="74"/>
      <c r="B7" s="75"/>
      <c r="C7" s="228"/>
      <c r="D7" s="75"/>
      <c r="E7" s="75"/>
      <c r="F7" s="74"/>
      <c r="G7" s="74"/>
    </row>
    <row r="8" spans="1:7" ht="15.75">
      <c r="A8" s="133">
        <v>1</v>
      </c>
      <c r="B8" s="119" t="s">
        <v>1042</v>
      </c>
      <c r="C8" s="230">
        <v>9988</v>
      </c>
      <c r="D8" s="134">
        <v>1</v>
      </c>
      <c r="E8" s="134" t="s">
        <v>60</v>
      </c>
      <c r="F8" s="135">
        <v>3000</v>
      </c>
      <c r="G8" s="69">
        <f t="shared" ref="G8:G12" si="0">D8*F8</f>
        <v>3000</v>
      </c>
    </row>
    <row r="9" spans="1:7" ht="15.95" customHeight="1">
      <c r="A9" s="136"/>
      <c r="B9" s="119"/>
      <c r="C9" s="230"/>
      <c r="D9" s="134"/>
      <c r="E9" s="134"/>
      <c r="F9" s="135"/>
      <c r="G9" s="135"/>
    </row>
    <row r="10" spans="1:7" ht="17.45" customHeight="1">
      <c r="A10" s="136">
        <v>2</v>
      </c>
      <c r="B10" s="119" t="s">
        <v>884</v>
      </c>
      <c r="C10" s="230">
        <v>9988</v>
      </c>
      <c r="D10" s="134">
        <v>1</v>
      </c>
      <c r="E10" s="134" t="s">
        <v>60</v>
      </c>
      <c r="F10" s="135">
        <v>1500</v>
      </c>
      <c r="G10" s="69">
        <f t="shared" si="0"/>
        <v>1500</v>
      </c>
    </row>
    <row r="11" spans="1:7" ht="15.95" customHeight="1">
      <c r="A11" s="136"/>
      <c r="B11" s="137"/>
      <c r="C11" s="231"/>
      <c r="D11" s="134"/>
      <c r="E11" s="134"/>
      <c r="F11" s="135"/>
      <c r="G11" s="135"/>
    </row>
    <row r="12" spans="1:7" ht="15.95" customHeight="1">
      <c r="A12" s="136">
        <v>3</v>
      </c>
      <c r="B12" s="119" t="s">
        <v>887</v>
      </c>
      <c r="C12" s="230">
        <v>9988</v>
      </c>
      <c r="D12" s="134">
        <v>1</v>
      </c>
      <c r="E12" s="134" t="s">
        <v>60</v>
      </c>
      <c r="F12" s="135">
        <v>3500</v>
      </c>
      <c r="G12" s="69">
        <f t="shared" si="0"/>
        <v>3500</v>
      </c>
    </row>
    <row r="13" spans="1:7" ht="15.95" customHeight="1">
      <c r="A13" s="136"/>
      <c r="B13" s="119"/>
      <c r="C13" s="230"/>
      <c r="D13" s="134"/>
      <c r="E13" s="134"/>
      <c r="F13" s="135"/>
      <c r="G13" s="135"/>
    </row>
    <row r="14" spans="1:7">
      <c r="A14" s="122"/>
      <c r="B14" s="119"/>
      <c r="C14" s="230"/>
      <c r="D14" s="134"/>
      <c r="E14" s="134"/>
      <c r="F14" s="135"/>
      <c r="G14" s="135"/>
    </row>
    <row r="15" spans="1:7">
      <c r="A15" s="122"/>
      <c r="B15" s="227"/>
      <c r="C15" s="125"/>
      <c r="D15" s="126"/>
      <c r="E15" s="126"/>
      <c r="F15" s="127"/>
      <c r="G15" s="121"/>
    </row>
    <row r="16" spans="1:7">
      <c r="A16" s="128"/>
      <c r="B16" s="129"/>
      <c r="C16" s="229"/>
      <c r="D16" s="130"/>
      <c r="E16" s="130"/>
      <c r="F16" s="131"/>
      <c r="G16" s="132"/>
    </row>
    <row r="17" spans="1:7" ht="15.75">
      <c r="A17" s="246" t="s">
        <v>14</v>
      </c>
      <c r="B17" s="247"/>
      <c r="C17" s="247"/>
      <c r="D17" s="247"/>
      <c r="E17" s="247"/>
      <c r="F17" s="248"/>
      <c r="G17" s="83">
        <f>SUM(G8:G16)</f>
        <v>8000</v>
      </c>
    </row>
    <row r="18" spans="1:7" ht="15.75">
      <c r="A18" s="246" t="s">
        <v>488</v>
      </c>
      <c r="B18" s="247"/>
      <c r="C18" s="247"/>
      <c r="D18" s="247"/>
      <c r="E18" s="247"/>
      <c r="F18" s="248"/>
      <c r="G18" s="83">
        <f>+G17*18%</f>
        <v>1440</v>
      </c>
    </row>
    <row r="19" spans="1:7" ht="17.45" customHeight="1">
      <c r="A19" s="260" t="s">
        <v>17</v>
      </c>
      <c r="B19" s="261"/>
      <c r="C19" s="261"/>
      <c r="D19" s="261"/>
      <c r="E19" s="261"/>
      <c r="F19" s="262"/>
      <c r="G19" s="84">
        <f>SUM(G17:G18)</f>
        <v>9440</v>
      </c>
    </row>
    <row r="20" spans="1:7" ht="33" customHeight="1">
      <c r="A20" s="263" t="s">
        <v>1043</v>
      </c>
      <c r="B20" s="264"/>
      <c r="C20" s="264"/>
      <c r="D20" s="264"/>
      <c r="E20" s="264"/>
      <c r="F20" s="264"/>
      <c r="G20" s="265"/>
    </row>
    <row r="21" spans="1:7" ht="15" customHeight="1">
      <c r="A21" s="266" t="s">
        <v>18</v>
      </c>
      <c r="B21" s="267"/>
      <c r="C21" s="148"/>
      <c r="D21" s="268" t="s">
        <v>19</v>
      </c>
      <c r="E21" s="269"/>
      <c r="F21" s="269"/>
      <c r="G21" s="270"/>
    </row>
    <row r="22" spans="1:7" ht="15" customHeight="1">
      <c r="A22" s="277" t="s">
        <v>359</v>
      </c>
      <c r="B22" s="278"/>
      <c r="C22" s="47"/>
      <c r="D22" s="279" t="s">
        <v>21</v>
      </c>
      <c r="E22" s="278"/>
      <c r="F22" s="278"/>
      <c r="G22" s="280"/>
    </row>
    <row r="23" spans="1:7" ht="15" customHeight="1">
      <c r="A23" s="277" t="s">
        <v>22</v>
      </c>
      <c r="B23" s="278"/>
      <c r="C23" s="47"/>
      <c r="D23" s="279" t="s">
        <v>23</v>
      </c>
      <c r="E23" s="278"/>
      <c r="F23" s="278"/>
      <c r="G23" s="280"/>
    </row>
    <row r="24" spans="1:7" ht="15" customHeight="1">
      <c r="A24" s="284" t="s">
        <v>494</v>
      </c>
      <c r="B24" s="285"/>
      <c r="C24" s="149"/>
      <c r="D24" s="284" t="s">
        <v>25</v>
      </c>
      <c r="E24" s="285"/>
      <c r="F24" s="285"/>
      <c r="G24" s="286"/>
    </row>
    <row r="25" spans="1:7" ht="27" customHeight="1">
      <c r="A25" s="271" t="s">
        <v>26</v>
      </c>
      <c r="B25" s="272"/>
      <c r="C25" s="272"/>
      <c r="D25" s="272"/>
      <c r="E25" s="272"/>
      <c r="F25" s="272"/>
      <c r="G25" s="273"/>
    </row>
    <row r="26" spans="1:7" ht="26.45" customHeight="1">
      <c r="A26" s="274" t="s">
        <v>27</v>
      </c>
      <c r="B26" s="275"/>
      <c r="C26" s="275"/>
      <c r="D26" s="275"/>
      <c r="E26" s="275"/>
      <c r="F26" s="275"/>
      <c r="G26" s="276"/>
    </row>
  </sheetData>
  <mergeCells count="19">
    <mergeCell ref="A17:F17"/>
    <mergeCell ref="B1:G1"/>
    <mergeCell ref="A2:G2"/>
    <mergeCell ref="D3:G3"/>
    <mergeCell ref="D4:G4"/>
    <mergeCell ref="D5:G5"/>
    <mergeCell ref="A26:G26"/>
    <mergeCell ref="A18:F18"/>
    <mergeCell ref="A19:F19"/>
    <mergeCell ref="A20:G20"/>
    <mergeCell ref="A21:B21"/>
    <mergeCell ref="D21:G21"/>
    <mergeCell ref="A22:B22"/>
    <mergeCell ref="D22:G22"/>
    <mergeCell ref="A23:B23"/>
    <mergeCell ref="D23:G23"/>
    <mergeCell ref="A24:B24"/>
    <mergeCell ref="D24:G24"/>
    <mergeCell ref="A25:G2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1AF6-6390-4779-9400-B09AB2B8C35B}">
  <dimension ref="A1:M37"/>
  <sheetViews>
    <sheetView topLeftCell="A16" workbookViewId="0">
      <selection activeCell="F8" sqref="F8"/>
    </sheetView>
  </sheetViews>
  <sheetFormatPr defaultRowHeight="15"/>
  <cols>
    <col min="1" max="1" width="5.28515625" customWidth="1"/>
    <col min="2" max="2" width="46.85546875" customWidth="1"/>
    <col min="3" max="3" width="5" customWidth="1"/>
    <col min="4" max="4" width="5.28515625" customWidth="1"/>
    <col min="5" max="5" width="12.42578125" customWidth="1"/>
    <col min="6" max="6" width="11.140625" customWidth="1"/>
  </cols>
  <sheetData>
    <row r="1" spans="1:13" ht="103.35" customHeight="1">
      <c r="A1" s="219"/>
      <c r="B1" s="314" t="s">
        <v>984</v>
      </c>
      <c r="C1" s="314"/>
      <c r="D1" s="314"/>
      <c r="E1" s="314"/>
      <c r="F1" s="315"/>
    </row>
    <row r="2" spans="1:13" ht="18" customHeight="1">
      <c r="A2" s="251" t="s">
        <v>6</v>
      </c>
      <c r="B2" s="252"/>
      <c r="C2" s="252"/>
      <c r="D2" s="252"/>
      <c r="E2" s="252"/>
      <c r="F2" s="253"/>
    </row>
    <row r="3" spans="1:13" ht="17.25">
      <c r="A3" s="4" t="s">
        <v>7</v>
      </c>
      <c r="B3" s="5" t="s">
        <v>999</v>
      </c>
      <c r="C3" s="254" t="s">
        <v>998</v>
      </c>
      <c r="D3" s="255"/>
      <c r="E3" s="255"/>
      <c r="F3" s="256"/>
    </row>
    <row r="4" spans="1:13" ht="29.25" customHeight="1">
      <c r="A4" s="6"/>
      <c r="B4" s="7" t="s">
        <v>1000</v>
      </c>
      <c r="C4" s="254" t="s">
        <v>973</v>
      </c>
      <c r="D4" s="255"/>
      <c r="E4" s="255"/>
      <c r="F4" s="256"/>
    </row>
    <row r="5" spans="1:13" ht="16.5" customHeight="1">
      <c r="A5" s="8"/>
      <c r="B5" s="2" t="s">
        <v>1001</v>
      </c>
      <c r="C5" s="257" t="s">
        <v>9</v>
      </c>
      <c r="D5" s="258"/>
      <c r="E5" s="258"/>
      <c r="F5" s="259"/>
    </row>
    <row r="6" spans="1:13" ht="16.5">
      <c r="A6" s="9" t="s">
        <v>3</v>
      </c>
      <c r="B6" s="9" t="s">
        <v>4</v>
      </c>
      <c r="C6" s="9" t="s">
        <v>5</v>
      </c>
      <c r="D6" s="9" t="s">
        <v>10</v>
      </c>
      <c r="E6" s="9" t="s">
        <v>11</v>
      </c>
      <c r="F6" s="9" t="s">
        <v>12</v>
      </c>
      <c r="L6" s="177"/>
    </row>
    <row r="7" spans="1:13" ht="8.85" customHeight="1">
      <c r="A7" s="52"/>
      <c r="B7" s="59"/>
      <c r="C7" s="75"/>
      <c r="D7" s="75"/>
      <c r="E7" s="74"/>
      <c r="F7" s="74"/>
    </row>
    <row r="8" spans="1:13" ht="15" customHeight="1">
      <c r="A8" s="6">
        <v>1</v>
      </c>
      <c r="B8" s="50" t="s">
        <v>985</v>
      </c>
      <c r="C8" s="68">
        <v>1</v>
      </c>
      <c r="D8" s="68" t="s">
        <v>60</v>
      </c>
      <c r="E8" s="69">
        <v>156500</v>
      </c>
      <c r="F8" s="69">
        <f t="shared" ref="F8" si="0">C8*E8</f>
        <v>156500</v>
      </c>
    </row>
    <row r="9" spans="1:13" ht="15" customHeight="1">
      <c r="A9" s="6"/>
      <c r="B9" s="50" t="s">
        <v>987</v>
      </c>
      <c r="C9" s="68"/>
      <c r="D9" s="68"/>
      <c r="E9" s="69"/>
      <c r="F9" s="69"/>
    </row>
    <row r="10" spans="1:13" ht="15" customHeight="1">
      <c r="A10" s="6"/>
      <c r="B10" s="50" t="s">
        <v>986</v>
      </c>
      <c r="C10" s="68"/>
      <c r="D10" s="68"/>
      <c r="E10" s="69"/>
      <c r="F10" s="69"/>
    </row>
    <row r="11" spans="1:13" ht="15" customHeight="1">
      <c r="A11" s="6"/>
      <c r="B11" s="7" t="s">
        <v>988</v>
      </c>
      <c r="C11" s="68"/>
      <c r="D11" s="68"/>
      <c r="E11" s="69"/>
      <c r="F11" s="69"/>
      <c r="M11" t="s">
        <v>68</v>
      </c>
    </row>
    <row r="12" spans="1:13" ht="15" customHeight="1">
      <c r="A12" s="6"/>
      <c r="B12" s="7" t="s">
        <v>989</v>
      </c>
      <c r="C12" s="68"/>
      <c r="D12" s="68"/>
      <c r="E12" s="69"/>
      <c r="F12" s="69"/>
    </row>
    <row r="13" spans="1:13" ht="15" customHeight="1">
      <c r="A13" s="6"/>
      <c r="B13" s="7" t="s">
        <v>990</v>
      </c>
      <c r="C13" s="68"/>
      <c r="D13" s="68"/>
      <c r="E13" s="69"/>
      <c r="F13" s="69"/>
    </row>
    <row r="14" spans="1:13" ht="15" customHeight="1">
      <c r="A14" s="6"/>
      <c r="B14" s="7" t="s">
        <v>1007</v>
      </c>
      <c r="C14" s="68"/>
      <c r="D14" s="68"/>
      <c r="E14" s="69"/>
      <c r="F14" s="69"/>
    </row>
    <row r="15" spans="1:13" ht="15" customHeight="1">
      <c r="A15" s="6"/>
      <c r="B15" s="7" t="s">
        <v>1006</v>
      </c>
      <c r="C15" s="68"/>
      <c r="D15" s="3"/>
      <c r="E15" s="69"/>
      <c r="F15" s="69"/>
    </row>
    <row r="16" spans="1:13" ht="4.7" customHeight="1">
      <c r="A16" s="6"/>
      <c r="B16" s="7"/>
      <c r="C16" s="68"/>
      <c r="D16" s="3"/>
      <c r="E16" s="69"/>
      <c r="F16" s="69"/>
    </row>
    <row r="17" spans="1:6" ht="15" customHeight="1">
      <c r="A17" s="6"/>
      <c r="B17" s="180" t="s">
        <v>991</v>
      </c>
      <c r="C17" s="68"/>
      <c r="D17" s="3"/>
      <c r="E17" s="69"/>
      <c r="F17" s="69"/>
    </row>
    <row r="18" spans="1:6" ht="15" customHeight="1">
      <c r="A18" s="6"/>
      <c r="B18" s="7" t="s">
        <v>992</v>
      </c>
      <c r="C18" s="68"/>
      <c r="D18" s="3"/>
      <c r="E18" s="69"/>
      <c r="F18" s="69"/>
    </row>
    <row r="19" spans="1:6" ht="15" customHeight="1">
      <c r="A19" s="6"/>
      <c r="B19" s="7" t="s">
        <v>1002</v>
      </c>
      <c r="C19" s="68"/>
      <c r="D19" s="3"/>
      <c r="E19" s="69"/>
      <c r="F19" s="69"/>
    </row>
    <row r="20" spans="1:6" ht="15" customHeight="1">
      <c r="A20" s="6"/>
      <c r="B20" s="7" t="s">
        <v>993</v>
      </c>
      <c r="C20" s="68"/>
      <c r="D20" s="3"/>
      <c r="E20" s="69"/>
      <c r="F20" s="69"/>
    </row>
    <row r="21" spans="1:6" ht="15" customHeight="1">
      <c r="A21" s="6"/>
      <c r="B21" s="7" t="s">
        <v>1003</v>
      </c>
      <c r="C21" s="68"/>
      <c r="D21" s="3"/>
      <c r="E21" s="69"/>
      <c r="F21" s="69"/>
    </row>
    <row r="22" spans="1:6" ht="15" customHeight="1">
      <c r="A22" s="6"/>
      <c r="B22" s="7" t="s">
        <v>1004</v>
      </c>
      <c r="C22" s="68"/>
      <c r="D22" s="3"/>
      <c r="E22" s="69"/>
      <c r="F22" s="69"/>
    </row>
    <row r="23" spans="1:6" ht="15" customHeight="1">
      <c r="A23" s="6"/>
      <c r="B23" s="7" t="s">
        <v>1005</v>
      </c>
      <c r="C23" s="68"/>
      <c r="D23" s="3"/>
      <c r="E23" s="69"/>
      <c r="F23" s="69"/>
    </row>
    <row r="24" spans="1:6" ht="15" customHeight="1">
      <c r="A24" s="6"/>
      <c r="B24" s="7" t="s">
        <v>994</v>
      </c>
      <c r="C24" s="68"/>
      <c r="D24" s="3"/>
      <c r="E24" s="69"/>
      <c r="F24" s="69"/>
    </row>
    <row r="25" spans="1:6" ht="15" customHeight="1">
      <c r="A25" s="6"/>
      <c r="B25" s="7" t="s">
        <v>995</v>
      </c>
      <c r="C25" s="68"/>
      <c r="D25" s="3"/>
      <c r="E25" s="69"/>
      <c r="F25" s="69"/>
    </row>
    <row r="26" spans="1:6" ht="15" customHeight="1">
      <c r="A26" s="104"/>
      <c r="B26" s="192" t="s">
        <v>996</v>
      </c>
      <c r="C26" s="193"/>
      <c r="D26" s="35"/>
      <c r="E26" s="82"/>
      <c r="F26" s="82"/>
    </row>
    <row r="27" spans="1:6" ht="15" customHeight="1">
      <c r="A27" s="246" t="s">
        <v>14</v>
      </c>
      <c r="B27" s="247"/>
      <c r="C27" s="247"/>
      <c r="D27" s="247"/>
      <c r="E27" s="248"/>
      <c r="F27" s="83">
        <f>SUM(F8:F26)</f>
        <v>156500</v>
      </c>
    </row>
    <row r="28" spans="1:6" ht="15" customHeight="1">
      <c r="A28" s="246" t="s">
        <v>15</v>
      </c>
      <c r="B28" s="247"/>
      <c r="C28" s="247"/>
      <c r="D28" s="247"/>
      <c r="E28" s="248"/>
      <c r="F28" s="83">
        <f>+F27*9%</f>
        <v>14085</v>
      </c>
    </row>
    <row r="29" spans="1:6" ht="15" customHeight="1">
      <c r="A29" s="246" t="s">
        <v>16</v>
      </c>
      <c r="B29" s="247"/>
      <c r="C29" s="247"/>
      <c r="D29" s="247"/>
      <c r="E29" s="248"/>
      <c r="F29" s="83">
        <f>+F27*9%</f>
        <v>14085</v>
      </c>
    </row>
    <row r="30" spans="1:6" ht="15" customHeight="1">
      <c r="A30" s="260" t="s">
        <v>17</v>
      </c>
      <c r="B30" s="261"/>
      <c r="C30" s="261"/>
      <c r="D30" s="261"/>
      <c r="E30" s="262"/>
      <c r="F30" s="84">
        <f>SUM(F27:F29)</f>
        <v>184670</v>
      </c>
    </row>
    <row r="31" spans="1:6" ht="31.35" customHeight="1">
      <c r="A31" s="263" t="s">
        <v>997</v>
      </c>
      <c r="B31" s="264"/>
      <c r="C31" s="264"/>
      <c r="D31" s="264"/>
      <c r="E31" s="264"/>
      <c r="F31" s="265"/>
    </row>
    <row r="32" spans="1:6" ht="15" customHeight="1">
      <c r="A32" s="266" t="s">
        <v>18</v>
      </c>
      <c r="B32" s="267"/>
      <c r="C32" s="268" t="s">
        <v>19</v>
      </c>
      <c r="D32" s="269"/>
      <c r="E32" s="269"/>
      <c r="F32" s="270"/>
    </row>
    <row r="33" spans="1:6" ht="15" customHeight="1">
      <c r="A33" s="277" t="s">
        <v>20</v>
      </c>
      <c r="B33" s="278"/>
      <c r="C33" s="279" t="s">
        <v>21</v>
      </c>
      <c r="D33" s="278"/>
      <c r="E33" s="278"/>
      <c r="F33" s="280"/>
    </row>
    <row r="34" spans="1:6" ht="15" customHeight="1">
      <c r="A34" s="277" t="s">
        <v>22</v>
      </c>
      <c r="B34" s="278"/>
      <c r="C34" s="279" t="s">
        <v>23</v>
      </c>
      <c r="D34" s="278"/>
      <c r="E34" s="278"/>
      <c r="F34" s="280"/>
    </row>
    <row r="35" spans="1:6" ht="15" customHeight="1">
      <c r="A35" s="284" t="s">
        <v>24</v>
      </c>
      <c r="B35" s="285"/>
      <c r="C35" s="284" t="s">
        <v>25</v>
      </c>
      <c r="D35" s="285"/>
      <c r="E35" s="285"/>
      <c r="F35" s="286"/>
    </row>
    <row r="36" spans="1:6" ht="20.45" customHeight="1">
      <c r="A36" s="271" t="s">
        <v>26</v>
      </c>
      <c r="B36" s="272"/>
      <c r="C36" s="272"/>
      <c r="D36" s="272"/>
      <c r="E36" s="272"/>
      <c r="F36" s="273"/>
    </row>
    <row r="37" spans="1:6" ht="19.149999999999999" customHeight="1">
      <c r="A37" s="274" t="s">
        <v>27</v>
      </c>
      <c r="B37" s="275"/>
      <c r="C37" s="275"/>
      <c r="D37" s="275"/>
      <c r="E37" s="275"/>
      <c r="F37" s="276"/>
    </row>
  </sheetData>
  <mergeCells count="20">
    <mergeCell ref="A36:F36"/>
    <mergeCell ref="A37:F37"/>
    <mergeCell ref="A33:B33"/>
    <mergeCell ref="C33:F33"/>
    <mergeCell ref="A34:B34"/>
    <mergeCell ref="C34:F34"/>
    <mergeCell ref="A35:B35"/>
    <mergeCell ref="C35:F35"/>
    <mergeCell ref="A28:E28"/>
    <mergeCell ref="A29:E29"/>
    <mergeCell ref="A30:E30"/>
    <mergeCell ref="A31:F31"/>
    <mergeCell ref="A32:B32"/>
    <mergeCell ref="C32:F32"/>
    <mergeCell ref="A27:E27"/>
    <mergeCell ref="B1:F1"/>
    <mergeCell ref="A2:F2"/>
    <mergeCell ref="C3:F3"/>
    <mergeCell ref="C4:F4"/>
    <mergeCell ref="C5:F5"/>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4BAA-CFF9-45FC-854F-85207ABC1F17}">
  <dimension ref="A1:M27"/>
  <sheetViews>
    <sheetView topLeftCell="A4" workbookViewId="0">
      <selection activeCell="H17" sqref="H17"/>
    </sheetView>
  </sheetViews>
  <sheetFormatPr defaultRowHeight="15"/>
  <cols>
    <col min="1" max="1" width="5.28515625" customWidth="1"/>
    <col min="2" max="2" width="46.85546875" customWidth="1"/>
    <col min="3" max="3" width="5" customWidth="1"/>
    <col min="4" max="4" width="5.28515625" customWidth="1"/>
    <col min="5" max="5" width="12.42578125" customWidth="1"/>
    <col min="6" max="6" width="11.140625" customWidth="1"/>
  </cols>
  <sheetData>
    <row r="1" spans="1:13" ht="105.95" customHeight="1">
      <c r="A1" s="219"/>
      <c r="B1" s="249" t="s">
        <v>984</v>
      </c>
      <c r="C1" s="249"/>
      <c r="D1" s="249"/>
      <c r="E1" s="249"/>
      <c r="F1" s="250"/>
    </row>
    <row r="2" spans="1:13" ht="18" customHeight="1">
      <c r="A2" s="251" t="s">
        <v>6</v>
      </c>
      <c r="B2" s="252"/>
      <c r="C2" s="252"/>
      <c r="D2" s="252"/>
      <c r="E2" s="252"/>
      <c r="F2" s="253"/>
    </row>
    <row r="3" spans="1:13" ht="17.25">
      <c r="A3" s="4" t="s">
        <v>7</v>
      </c>
      <c r="B3" s="5" t="s">
        <v>1</v>
      </c>
      <c r="C3" s="254" t="s">
        <v>979</v>
      </c>
      <c r="D3" s="255"/>
      <c r="E3" s="255"/>
      <c r="F3" s="256"/>
    </row>
    <row r="4" spans="1:13" ht="29.25" customHeight="1">
      <c r="A4" s="6"/>
      <c r="B4" s="7" t="s">
        <v>8</v>
      </c>
      <c r="C4" s="254" t="s">
        <v>973</v>
      </c>
      <c r="D4" s="255"/>
      <c r="E4" s="255"/>
      <c r="F4" s="256"/>
    </row>
    <row r="5" spans="1:13" ht="16.5" customHeight="1">
      <c r="A5" s="8"/>
      <c r="B5" s="2" t="s">
        <v>2</v>
      </c>
      <c r="C5" s="257" t="s">
        <v>9</v>
      </c>
      <c r="D5" s="258"/>
      <c r="E5" s="258"/>
      <c r="F5" s="259"/>
    </row>
    <row r="6" spans="1:13" ht="16.5">
      <c r="A6" s="9" t="s">
        <v>3</v>
      </c>
      <c r="B6" s="9" t="s">
        <v>4</v>
      </c>
      <c r="C6" s="9" t="s">
        <v>5</v>
      </c>
      <c r="D6" s="9" t="s">
        <v>10</v>
      </c>
      <c r="E6" s="9" t="s">
        <v>11</v>
      </c>
      <c r="F6" s="9" t="s">
        <v>12</v>
      </c>
      <c r="L6" s="177"/>
    </row>
    <row r="7" spans="1:13" ht="28.5" customHeight="1">
      <c r="A7" s="52"/>
      <c r="B7" s="59"/>
      <c r="C7" s="75"/>
      <c r="D7" s="75"/>
      <c r="E7" s="74"/>
      <c r="F7" s="74"/>
    </row>
    <row r="8" spans="1:13" ht="15" customHeight="1">
      <c r="A8" s="6">
        <v>1</v>
      </c>
      <c r="B8" s="50" t="s">
        <v>982</v>
      </c>
      <c r="C8" s="68">
        <v>1</v>
      </c>
      <c r="D8" s="68" t="s">
        <v>154</v>
      </c>
      <c r="E8" s="69">
        <v>35650</v>
      </c>
      <c r="F8" s="69">
        <f t="shared" ref="F8" si="0">C8*E8</f>
        <v>35650</v>
      </c>
    </row>
    <row r="9" spans="1:13" ht="15" customHeight="1">
      <c r="A9" s="6"/>
      <c r="B9" s="50" t="s">
        <v>980</v>
      </c>
      <c r="C9" s="68"/>
      <c r="D9" s="68"/>
      <c r="E9" s="69"/>
      <c r="F9" s="69"/>
    </row>
    <row r="10" spans="1:13" ht="15" customHeight="1">
      <c r="A10" s="6"/>
      <c r="B10" s="50" t="s">
        <v>54</v>
      </c>
      <c r="C10" s="68"/>
      <c r="D10" s="68"/>
      <c r="E10" s="69"/>
      <c r="F10" s="69"/>
    </row>
    <row r="11" spans="1:13" ht="15" customHeight="1">
      <c r="A11" s="6"/>
      <c r="B11" s="7" t="s">
        <v>981</v>
      </c>
      <c r="C11" s="68"/>
      <c r="D11" s="68"/>
      <c r="E11" s="69"/>
      <c r="F11" s="69"/>
      <c r="M11" t="s">
        <v>68</v>
      </c>
    </row>
    <row r="12" spans="1:13" ht="15" customHeight="1">
      <c r="A12" s="6"/>
      <c r="B12" s="7"/>
      <c r="C12" s="68"/>
      <c r="D12" s="68"/>
      <c r="E12" s="69"/>
      <c r="F12" s="69"/>
    </row>
    <row r="13" spans="1:13" ht="15" customHeight="1">
      <c r="A13" s="6"/>
      <c r="B13" s="7"/>
      <c r="C13" s="68"/>
      <c r="D13" s="68"/>
      <c r="E13" s="69"/>
      <c r="F13" s="69"/>
    </row>
    <row r="14" spans="1:13" ht="15" customHeight="1">
      <c r="A14" s="6"/>
      <c r="B14" s="7"/>
      <c r="C14" s="68"/>
      <c r="D14" s="68"/>
      <c r="E14" s="69"/>
      <c r="F14" s="69"/>
    </row>
    <row r="15" spans="1:13" ht="15" customHeight="1">
      <c r="A15" s="6"/>
      <c r="B15" s="179"/>
      <c r="C15" s="68"/>
      <c r="D15" s="3"/>
      <c r="E15" s="69"/>
      <c r="F15" s="69"/>
    </row>
    <row r="16" spans="1:13" ht="15" customHeight="1">
      <c r="A16" s="104"/>
      <c r="B16" s="166"/>
      <c r="C16" s="80"/>
      <c r="D16" s="80"/>
      <c r="E16" s="106"/>
      <c r="F16" s="82"/>
    </row>
    <row r="17" spans="1:6" ht="15" customHeight="1">
      <c r="A17" s="246" t="s">
        <v>14</v>
      </c>
      <c r="B17" s="247"/>
      <c r="C17" s="247"/>
      <c r="D17" s="247"/>
      <c r="E17" s="248"/>
      <c r="F17" s="83">
        <f>SUM(F8:F16)</f>
        <v>35650</v>
      </c>
    </row>
    <row r="18" spans="1:6" ht="15" customHeight="1">
      <c r="A18" s="246" t="s">
        <v>15</v>
      </c>
      <c r="B18" s="247"/>
      <c r="C18" s="247"/>
      <c r="D18" s="247"/>
      <c r="E18" s="248"/>
      <c r="F18" s="83">
        <f>+F17*9%</f>
        <v>3208.5</v>
      </c>
    </row>
    <row r="19" spans="1:6" ht="15" customHeight="1">
      <c r="A19" s="246" t="s">
        <v>16</v>
      </c>
      <c r="B19" s="247"/>
      <c r="C19" s="247"/>
      <c r="D19" s="247"/>
      <c r="E19" s="248"/>
      <c r="F19" s="83">
        <f>+F17*9%</f>
        <v>3208.5</v>
      </c>
    </row>
    <row r="20" spans="1:6" ht="15" customHeight="1">
      <c r="A20" s="260" t="s">
        <v>17</v>
      </c>
      <c r="B20" s="261"/>
      <c r="C20" s="261"/>
      <c r="D20" s="261"/>
      <c r="E20" s="262"/>
      <c r="F20" s="84">
        <f>SUM(F17:F19)</f>
        <v>42067</v>
      </c>
    </row>
    <row r="21" spans="1:6" ht="31.35" customHeight="1">
      <c r="A21" s="263" t="s">
        <v>983</v>
      </c>
      <c r="B21" s="264"/>
      <c r="C21" s="264"/>
      <c r="D21" s="264"/>
      <c r="E21" s="264"/>
      <c r="F21" s="265"/>
    </row>
    <row r="22" spans="1:6" ht="15" customHeight="1">
      <c r="A22" s="266" t="s">
        <v>18</v>
      </c>
      <c r="B22" s="267"/>
      <c r="C22" s="268" t="s">
        <v>19</v>
      </c>
      <c r="D22" s="269"/>
      <c r="E22" s="269"/>
      <c r="F22" s="270"/>
    </row>
    <row r="23" spans="1:6" ht="15" customHeight="1">
      <c r="A23" s="277" t="s">
        <v>20</v>
      </c>
      <c r="B23" s="278"/>
      <c r="C23" s="279" t="s">
        <v>21</v>
      </c>
      <c r="D23" s="278"/>
      <c r="E23" s="278"/>
      <c r="F23" s="280"/>
    </row>
    <row r="24" spans="1:6" ht="15" customHeight="1">
      <c r="A24" s="277" t="s">
        <v>22</v>
      </c>
      <c r="B24" s="278"/>
      <c r="C24" s="279" t="s">
        <v>23</v>
      </c>
      <c r="D24" s="278"/>
      <c r="E24" s="278"/>
      <c r="F24" s="280"/>
    </row>
    <row r="25" spans="1:6" ht="15" customHeight="1">
      <c r="A25" s="284" t="s">
        <v>24</v>
      </c>
      <c r="B25" s="285"/>
      <c r="C25" s="284" t="s">
        <v>25</v>
      </c>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0">
    <mergeCell ref="A17:E17"/>
    <mergeCell ref="B1:F1"/>
    <mergeCell ref="A2:F2"/>
    <mergeCell ref="C3:F3"/>
    <mergeCell ref="C4:F4"/>
    <mergeCell ref="C5:F5"/>
    <mergeCell ref="A18:E18"/>
    <mergeCell ref="A19:E19"/>
    <mergeCell ref="A20:E20"/>
    <mergeCell ref="A21:F21"/>
    <mergeCell ref="A22:B22"/>
    <mergeCell ref="C22:F22"/>
    <mergeCell ref="A26:F26"/>
    <mergeCell ref="A27:F27"/>
    <mergeCell ref="A23:B23"/>
    <mergeCell ref="C23:F23"/>
    <mergeCell ref="A24:B24"/>
    <mergeCell ref="C24:F24"/>
    <mergeCell ref="A25:B25"/>
    <mergeCell ref="C25:F2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DC63-5A45-40FF-8C10-551BC5CBEC97}">
  <dimension ref="A1:M27"/>
  <sheetViews>
    <sheetView topLeftCell="A4" workbookViewId="0">
      <selection activeCell="K4" sqref="K4"/>
    </sheetView>
  </sheetViews>
  <sheetFormatPr defaultRowHeight="15"/>
  <cols>
    <col min="1" max="1" width="5.28515625" customWidth="1"/>
    <col min="2" max="2" width="46.85546875" customWidth="1"/>
    <col min="3" max="3" width="5" customWidth="1"/>
    <col min="4" max="4" width="5.28515625" customWidth="1"/>
    <col min="5" max="5" width="10.28515625" customWidth="1"/>
    <col min="6" max="6" width="11.140625" customWidth="1"/>
  </cols>
  <sheetData>
    <row r="1" spans="1:13" ht="105.95" customHeight="1">
      <c r="A1" s="1"/>
      <c r="B1" s="290" t="s">
        <v>0</v>
      </c>
      <c r="C1" s="290"/>
      <c r="D1" s="290"/>
      <c r="E1" s="290"/>
      <c r="F1" s="291"/>
    </row>
    <row r="2" spans="1:13" ht="18" customHeight="1">
      <c r="A2" s="251" t="s">
        <v>6</v>
      </c>
      <c r="B2" s="252"/>
      <c r="C2" s="252"/>
      <c r="D2" s="252"/>
      <c r="E2" s="252"/>
      <c r="F2" s="253"/>
    </row>
    <row r="3" spans="1:13" ht="17.25">
      <c r="A3" s="4" t="s">
        <v>7</v>
      </c>
      <c r="B3" s="5" t="s">
        <v>1</v>
      </c>
      <c r="C3" s="254" t="s">
        <v>972</v>
      </c>
      <c r="D3" s="255"/>
      <c r="E3" s="255"/>
      <c r="F3" s="256"/>
    </row>
    <row r="4" spans="1:13" ht="29.25" customHeight="1">
      <c r="A4" s="6"/>
      <c r="B4" s="7" t="s">
        <v>8</v>
      </c>
      <c r="C4" s="254" t="s">
        <v>973</v>
      </c>
      <c r="D4" s="255"/>
      <c r="E4" s="255"/>
      <c r="F4" s="256"/>
    </row>
    <row r="5" spans="1:13" ht="16.5" customHeight="1">
      <c r="A5" s="8"/>
      <c r="B5" s="2" t="s">
        <v>2</v>
      </c>
      <c r="C5" s="257" t="s">
        <v>9</v>
      </c>
      <c r="D5" s="258"/>
      <c r="E5" s="258"/>
      <c r="F5" s="259"/>
    </row>
    <row r="6" spans="1:13" ht="16.5">
      <c r="A6" s="9" t="s">
        <v>3</v>
      </c>
      <c r="B6" s="9" t="s">
        <v>4</v>
      </c>
      <c r="C6" s="9" t="s">
        <v>5</v>
      </c>
      <c r="D6" s="9" t="s">
        <v>10</v>
      </c>
      <c r="E6" s="9" t="s">
        <v>11</v>
      </c>
      <c r="F6" s="9" t="s">
        <v>12</v>
      </c>
      <c r="L6" s="177"/>
    </row>
    <row r="7" spans="1:13" ht="28.5" customHeight="1">
      <c r="A7" s="52"/>
      <c r="B7" s="59" t="s">
        <v>976</v>
      </c>
      <c r="C7" s="75"/>
      <c r="D7" s="75"/>
      <c r="E7" s="74"/>
      <c r="F7" s="74"/>
    </row>
    <row r="8" spans="1:13" ht="15" customHeight="1">
      <c r="A8" s="6">
        <v>1</v>
      </c>
      <c r="B8" s="218" t="s">
        <v>978</v>
      </c>
      <c r="C8" s="68">
        <v>1</v>
      </c>
      <c r="D8" s="68" t="s">
        <v>60</v>
      </c>
      <c r="E8" s="69">
        <v>3000</v>
      </c>
      <c r="F8" s="69">
        <f t="shared" ref="F8:F10" si="0">C8*E8</f>
        <v>3000</v>
      </c>
    </row>
    <row r="9" spans="1:13" ht="15" customHeight="1">
      <c r="A9" s="6">
        <v>2</v>
      </c>
      <c r="B9" s="218" t="s">
        <v>974</v>
      </c>
      <c r="C9" s="68">
        <v>1</v>
      </c>
      <c r="D9" s="68" t="s">
        <v>60</v>
      </c>
      <c r="E9" s="69">
        <v>1500</v>
      </c>
      <c r="F9" s="69">
        <f t="shared" si="0"/>
        <v>1500</v>
      </c>
    </row>
    <row r="10" spans="1:13" ht="15" customHeight="1">
      <c r="A10" s="6">
        <v>3</v>
      </c>
      <c r="B10" s="218" t="s">
        <v>975</v>
      </c>
      <c r="C10" s="68">
        <v>1</v>
      </c>
      <c r="D10" s="68" t="s">
        <v>60</v>
      </c>
      <c r="E10" s="69">
        <v>1800</v>
      </c>
      <c r="F10" s="69">
        <f t="shared" si="0"/>
        <v>1800</v>
      </c>
    </row>
    <row r="11" spans="1:13" ht="15" customHeight="1">
      <c r="A11" s="6"/>
      <c r="B11" s="7"/>
      <c r="C11" s="68"/>
      <c r="D11" s="3"/>
      <c r="E11" s="69"/>
      <c r="F11" s="69"/>
      <c r="M11" t="s">
        <v>68</v>
      </c>
    </row>
    <row r="12" spans="1:13" ht="15" customHeight="1">
      <c r="A12" s="6"/>
      <c r="B12" s="7"/>
      <c r="C12" s="68"/>
      <c r="D12" s="3"/>
      <c r="E12" s="69"/>
      <c r="F12" s="69"/>
    </row>
    <row r="13" spans="1:13" ht="15" customHeight="1">
      <c r="A13" s="6"/>
      <c r="B13" s="7"/>
      <c r="C13" s="68"/>
      <c r="D13" s="3"/>
      <c r="E13" s="69"/>
      <c r="F13" s="69"/>
    </row>
    <row r="14" spans="1:13" ht="15" customHeight="1">
      <c r="A14" s="6"/>
      <c r="B14" s="7"/>
      <c r="C14" s="68"/>
      <c r="D14" s="3"/>
      <c r="E14" s="69"/>
      <c r="F14" s="69"/>
    </row>
    <row r="15" spans="1:13" ht="15" customHeight="1">
      <c r="A15" s="6"/>
      <c r="B15" s="179"/>
      <c r="C15" s="68"/>
      <c r="D15" s="3"/>
      <c r="E15" s="69"/>
      <c r="F15" s="69"/>
    </row>
    <row r="16" spans="1:13" ht="15" customHeight="1">
      <c r="A16" s="104"/>
      <c r="B16" s="166"/>
      <c r="C16" s="80"/>
      <c r="D16" s="80"/>
      <c r="E16" s="106"/>
      <c r="F16" s="82"/>
    </row>
    <row r="17" spans="1:6" ht="15" customHeight="1">
      <c r="A17" s="246" t="s">
        <v>14</v>
      </c>
      <c r="B17" s="247"/>
      <c r="C17" s="247"/>
      <c r="D17" s="247"/>
      <c r="E17" s="248"/>
      <c r="F17" s="83">
        <f>SUM(F8:F16)</f>
        <v>6300</v>
      </c>
    </row>
    <row r="18" spans="1:6" ht="15" customHeight="1">
      <c r="A18" s="246" t="s">
        <v>15</v>
      </c>
      <c r="B18" s="247"/>
      <c r="C18" s="247"/>
      <c r="D18" s="247"/>
      <c r="E18" s="248"/>
      <c r="F18" s="83">
        <f>+F17*9%</f>
        <v>567</v>
      </c>
    </row>
    <row r="19" spans="1:6" ht="15" customHeight="1">
      <c r="A19" s="246" t="s">
        <v>16</v>
      </c>
      <c r="B19" s="247"/>
      <c r="C19" s="247"/>
      <c r="D19" s="247"/>
      <c r="E19" s="248"/>
      <c r="F19" s="83">
        <f>+F17*9%</f>
        <v>567</v>
      </c>
    </row>
    <row r="20" spans="1:6" ht="15" customHeight="1">
      <c r="A20" s="260" t="s">
        <v>17</v>
      </c>
      <c r="B20" s="261"/>
      <c r="C20" s="261"/>
      <c r="D20" s="261"/>
      <c r="E20" s="262"/>
      <c r="F20" s="84">
        <f>SUM(F17:F19)</f>
        <v>7434</v>
      </c>
    </row>
    <row r="21" spans="1:6" ht="31.35" customHeight="1">
      <c r="A21" s="263" t="s">
        <v>977</v>
      </c>
      <c r="B21" s="264"/>
      <c r="C21" s="264"/>
      <c r="D21" s="264"/>
      <c r="E21" s="264"/>
      <c r="F21" s="265"/>
    </row>
    <row r="22" spans="1:6" ht="15" customHeight="1">
      <c r="A22" s="266" t="s">
        <v>18</v>
      </c>
      <c r="B22" s="267"/>
      <c r="C22" s="268" t="s">
        <v>19</v>
      </c>
      <c r="D22" s="269"/>
      <c r="E22" s="269"/>
      <c r="F22" s="270"/>
    </row>
    <row r="23" spans="1:6" ht="15" customHeight="1">
      <c r="A23" s="277" t="s">
        <v>20</v>
      </c>
      <c r="B23" s="278"/>
      <c r="C23" s="279" t="s">
        <v>21</v>
      </c>
      <c r="D23" s="278"/>
      <c r="E23" s="278"/>
      <c r="F23" s="280"/>
    </row>
    <row r="24" spans="1:6" ht="15" customHeight="1">
      <c r="A24" s="277" t="s">
        <v>22</v>
      </c>
      <c r="B24" s="278"/>
      <c r="C24" s="279" t="s">
        <v>23</v>
      </c>
      <c r="D24" s="278"/>
      <c r="E24" s="278"/>
      <c r="F24" s="280"/>
    </row>
    <row r="25" spans="1:6" ht="15" customHeight="1">
      <c r="A25" s="284" t="s">
        <v>24</v>
      </c>
      <c r="B25" s="285"/>
      <c r="C25" s="284" t="s">
        <v>25</v>
      </c>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0">
    <mergeCell ref="A26:F26"/>
    <mergeCell ref="A27:F27"/>
    <mergeCell ref="A23:B23"/>
    <mergeCell ref="C23:F23"/>
    <mergeCell ref="A24:B24"/>
    <mergeCell ref="C24:F24"/>
    <mergeCell ref="A25:B25"/>
    <mergeCell ref="C25:F25"/>
    <mergeCell ref="A22:B22"/>
    <mergeCell ref="C22:F22"/>
    <mergeCell ref="B1:F1"/>
    <mergeCell ref="A2:F2"/>
    <mergeCell ref="C3:F3"/>
    <mergeCell ref="C4:F4"/>
    <mergeCell ref="C5:F5"/>
    <mergeCell ref="A17:E17"/>
    <mergeCell ref="A18:E18"/>
    <mergeCell ref="A19:E19"/>
    <mergeCell ref="A20:E20"/>
    <mergeCell ref="A21:F2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E080-DBBF-496C-9A80-1CDA35837112}">
  <dimension ref="A1:L36"/>
  <sheetViews>
    <sheetView workbookViewId="0">
      <selection activeCell="K32" sqref="K32"/>
    </sheetView>
  </sheetViews>
  <sheetFormatPr defaultRowHeight="15"/>
  <cols>
    <col min="1" max="1" width="5.28515625" customWidth="1"/>
    <col min="2" max="2" width="46.8554687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970</v>
      </c>
      <c r="D3" s="255"/>
      <c r="E3" s="255"/>
      <c r="F3" s="256"/>
    </row>
    <row r="4" spans="1:12" ht="29.25" customHeight="1">
      <c r="A4" s="6"/>
      <c r="B4" s="7" t="s">
        <v>8</v>
      </c>
      <c r="C4" s="254" t="s">
        <v>949</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2.95" customHeight="1">
      <c r="A7" s="52"/>
      <c r="B7" s="59"/>
      <c r="C7" s="9"/>
      <c r="D7" s="75"/>
      <c r="E7" s="74"/>
      <c r="F7" s="74"/>
    </row>
    <row r="8" spans="1:12" ht="15" customHeight="1">
      <c r="A8" s="213">
        <v>1</v>
      </c>
      <c r="B8" s="212" t="s">
        <v>951</v>
      </c>
      <c r="C8" s="208">
        <v>4</v>
      </c>
      <c r="D8" s="209" t="s">
        <v>952</v>
      </c>
      <c r="E8" s="214">
        <v>290</v>
      </c>
      <c r="F8" s="200">
        <f t="shared" ref="F8:F24" si="0">C8*E8</f>
        <v>1160</v>
      </c>
    </row>
    <row r="9" spans="1:12" ht="15" customHeight="1">
      <c r="A9" s="213">
        <v>2</v>
      </c>
      <c r="B9" s="205" t="s">
        <v>953</v>
      </c>
      <c r="C9" s="210">
        <v>10</v>
      </c>
      <c r="D9" s="209" t="s">
        <v>952</v>
      </c>
      <c r="E9" s="214">
        <v>187</v>
      </c>
      <c r="F9" s="214">
        <f t="shared" si="0"/>
        <v>1870</v>
      </c>
    </row>
    <row r="10" spans="1:12" ht="15" customHeight="1">
      <c r="A10" s="213">
        <v>3</v>
      </c>
      <c r="B10" s="205" t="s">
        <v>954</v>
      </c>
      <c r="C10" s="210">
        <v>10</v>
      </c>
      <c r="D10" s="209" t="s">
        <v>952</v>
      </c>
      <c r="E10" s="69">
        <v>48</v>
      </c>
      <c r="F10" s="214">
        <f t="shared" si="0"/>
        <v>480</v>
      </c>
    </row>
    <row r="11" spans="1:12" ht="15" customHeight="1">
      <c r="A11" s="213">
        <v>4</v>
      </c>
      <c r="B11" s="205" t="s">
        <v>955</v>
      </c>
      <c r="C11" s="209">
        <v>4</v>
      </c>
      <c r="D11" s="208" t="s">
        <v>952</v>
      </c>
      <c r="E11" s="214">
        <v>446</v>
      </c>
      <c r="F11" s="214">
        <f t="shared" si="0"/>
        <v>1784</v>
      </c>
    </row>
    <row r="12" spans="1:12" ht="15" customHeight="1">
      <c r="A12" s="213">
        <v>5</v>
      </c>
      <c r="B12" s="205" t="s">
        <v>956</v>
      </c>
      <c r="C12" s="209">
        <v>10</v>
      </c>
      <c r="D12" s="209" t="s">
        <v>952</v>
      </c>
      <c r="E12" s="214">
        <v>125</v>
      </c>
      <c r="F12" s="214">
        <f t="shared" si="0"/>
        <v>1250</v>
      </c>
    </row>
    <row r="13" spans="1:12" ht="15" customHeight="1">
      <c r="A13" s="213">
        <v>6</v>
      </c>
      <c r="B13" s="205" t="s">
        <v>957</v>
      </c>
      <c r="C13" s="208">
        <v>4</v>
      </c>
      <c r="D13" s="209" t="s">
        <v>952</v>
      </c>
      <c r="E13" s="214">
        <v>446</v>
      </c>
      <c r="F13" s="214">
        <f t="shared" si="0"/>
        <v>1784</v>
      </c>
    </row>
    <row r="14" spans="1:12" ht="15" customHeight="1">
      <c r="A14" s="213">
        <v>7</v>
      </c>
      <c r="B14" s="205" t="s">
        <v>958</v>
      </c>
      <c r="C14" s="210">
        <v>4</v>
      </c>
      <c r="D14" s="209" t="s">
        <v>685</v>
      </c>
      <c r="E14" s="214">
        <v>285</v>
      </c>
      <c r="F14" s="214">
        <f t="shared" si="0"/>
        <v>1140</v>
      </c>
    </row>
    <row r="15" spans="1:12" ht="15" customHeight="1">
      <c r="A15" s="213">
        <v>8</v>
      </c>
      <c r="B15" s="205" t="s">
        <v>959</v>
      </c>
      <c r="C15" s="210">
        <v>4</v>
      </c>
      <c r="D15" s="208" t="s">
        <v>685</v>
      </c>
      <c r="E15" s="214">
        <v>283</v>
      </c>
      <c r="F15" s="214">
        <f t="shared" si="0"/>
        <v>1132</v>
      </c>
    </row>
    <row r="16" spans="1:12" ht="15" customHeight="1">
      <c r="A16" s="213">
        <v>9</v>
      </c>
      <c r="B16" s="205" t="s">
        <v>960</v>
      </c>
      <c r="C16" s="209">
        <v>20</v>
      </c>
      <c r="D16" s="209" t="s">
        <v>685</v>
      </c>
      <c r="E16" s="214">
        <v>288</v>
      </c>
      <c r="F16" s="214">
        <f t="shared" si="0"/>
        <v>5760</v>
      </c>
    </row>
    <row r="17" spans="1:6" ht="15" customHeight="1">
      <c r="A17" s="213">
        <v>10</v>
      </c>
      <c r="B17" s="206" t="s">
        <v>961</v>
      </c>
      <c r="C17" s="208">
        <v>10</v>
      </c>
      <c r="D17" s="209" t="s">
        <v>685</v>
      </c>
      <c r="E17" s="214">
        <v>16</v>
      </c>
      <c r="F17" s="214">
        <f t="shared" si="0"/>
        <v>160</v>
      </c>
    </row>
    <row r="18" spans="1:6" ht="15" customHeight="1">
      <c r="A18" s="213">
        <v>11</v>
      </c>
      <c r="B18" s="207" t="s">
        <v>962</v>
      </c>
      <c r="C18" s="210">
        <v>4</v>
      </c>
      <c r="D18" s="209" t="s">
        <v>952</v>
      </c>
      <c r="E18" s="214">
        <v>288</v>
      </c>
      <c r="F18" s="214">
        <f t="shared" si="0"/>
        <v>1152</v>
      </c>
    </row>
    <row r="19" spans="1:6" ht="15" customHeight="1">
      <c r="A19" s="213">
        <v>12</v>
      </c>
      <c r="B19" s="205" t="s">
        <v>963</v>
      </c>
      <c r="C19" s="210">
        <v>20</v>
      </c>
      <c r="D19" s="211" t="s">
        <v>952</v>
      </c>
      <c r="E19" s="214">
        <v>335</v>
      </c>
      <c r="F19" s="214">
        <f t="shared" si="0"/>
        <v>6700</v>
      </c>
    </row>
    <row r="20" spans="1:6" ht="15" customHeight="1">
      <c r="A20" s="213">
        <v>13</v>
      </c>
      <c r="B20" s="204" t="s">
        <v>964</v>
      </c>
      <c r="C20" s="209">
        <v>4</v>
      </c>
      <c r="D20" s="208" t="s">
        <v>952</v>
      </c>
      <c r="E20" s="214">
        <v>286</v>
      </c>
      <c r="F20" s="214">
        <f t="shared" si="0"/>
        <v>1144</v>
      </c>
    </row>
    <row r="21" spans="1:6" ht="15" customHeight="1">
      <c r="A21" s="213">
        <v>14</v>
      </c>
      <c r="B21" s="205" t="s">
        <v>965</v>
      </c>
      <c r="C21" s="215">
        <v>10</v>
      </c>
      <c r="D21" s="209" t="s">
        <v>685</v>
      </c>
      <c r="E21" s="214">
        <v>100</v>
      </c>
      <c r="F21" s="214">
        <f t="shared" si="0"/>
        <v>1000</v>
      </c>
    </row>
    <row r="22" spans="1:6" ht="15" customHeight="1">
      <c r="A22" s="213">
        <v>15</v>
      </c>
      <c r="B22" s="212" t="s">
        <v>966</v>
      </c>
      <c r="C22" s="209">
        <v>20</v>
      </c>
      <c r="D22" s="216" t="s">
        <v>685</v>
      </c>
      <c r="E22" s="214">
        <v>91</v>
      </c>
      <c r="F22" s="214">
        <f t="shared" si="0"/>
        <v>1820</v>
      </c>
    </row>
    <row r="23" spans="1:6" ht="15" customHeight="1">
      <c r="A23" s="213">
        <v>16</v>
      </c>
      <c r="B23" s="217" t="s">
        <v>967</v>
      </c>
      <c r="C23" s="209">
        <v>10</v>
      </c>
      <c r="D23" s="216" t="s">
        <v>968</v>
      </c>
      <c r="E23" s="214">
        <v>40</v>
      </c>
      <c r="F23" s="214">
        <f t="shared" si="0"/>
        <v>400</v>
      </c>
    </row>
    <row r="24" spans="1:6" ht="15" customHeight="1">
      <c r="A24" s="213">
        <v>17</v>
      </c>
      <c r="B24" s="212" t="s">
        <v>969</v>
      </c>
      <c r="C24" s="209">
        <v>10</v>
      </c>
      <c r="D24" s="216" t="s">
        <v>968</v>
      </c>
      <c r="E24" s="214">
        <v>32</v>
      </c>
      <c r="F24" s="214">
        <f t="shared" si="0"/>
        <v>320</v>
      </c>
    </row>
    <row r="25" spans="1:6" ht="15" customHeight="1">
      <c r="A25" s="246" t="s">
        <v>119</v>
      </c>
      <c r="B25" s="247"/>
      <c r="C25" s="247"/>
      <c r="D25" s="247"/>
      <c r="E25" s="248"/>
      <c r="F25" s="69">
        <v>-581</v>
      </c>
    </row>
    <row r="26" spans="1:6" ht="15" customHeight="1">
      <c r="A26" s="246" t="s">
        <v>14</v>
      </c>
      <c r="B26" s="247"/>
      <c r="C26" s="247"/>
      <c r="D26" s="247"/>
      <c r="E26" s="248"/>
      <c r="F26" s="83">
        <f>SUM(F8:F25)</f>
        <v>28475</v>
      </c>
    </row>
    <row r="27" spans="1:6" ht="15" customHeight="1">
      <c r="A27" s="246" t="s">
        <v>15</v>
      </c>
      <c r="B27" s="247"/>
      <c r="C27" s="247"/>
      <c r="D27" s="247"/>
      <c r="E27" s="248"/>
      <c r="F27" s="83">
        <f>+F26*9%</f>
        <v>2562.75</v>
      </c>
    </row>
    <row r="28" spans="1:6" ht="15" customHeight="1">
      <c r="A28" s="246" t="s">
        <v>16</v>
      </c>
      <c r="B28" s="247"/>
      <c r="C28" s="247"/>
      <c r="D28" s="247"/>
      <c r="E28" s="248"/>
      <c r="F28" s="83">
        <f>+F26*9%</f>
        <v>2562.75</v>
      </c>
    </row>
    <row r="29" spans="1:6" ht="15" customHeight="1">
      <c r="A29" s="260" t="s">
        <v>17</v>
      </c>
      <c r="B29" s="261"/>
      <c r="C29" s="261"/>
      <c r="D29" s="261"/>
      <c r="E29" s="262"/>
      <c r="F29" s="84">
        <f>SUM(F26:F28)</f>
        <v>33600.5</v>
      </c>
    </row>
    <row r="30" spans="1:6" ht="17.649999999999999" customHeight="1">
      <c r="A30" s="263" t="s">
        <v>971</v>
      </c>
      <c r="B30" s="264"/>
      <c r="C30" s="264"/>
      <c r="D30" s="264"/>
      <c r="E30" s="264"/>
      <c r="F30" s="265"/>
    </row>
    <row r="31" spans="1:6" ht="15" customHeight="1">
      <c r="A31" s="266" t="s">
        <v>18</v>
      </c>
      <c r="B31" s="267"/>
      <c r="C31" s="268" t="s">
        <v>19</v>
      </c>
      <c r="D31" s="269"/>
      <c r="E31" s="269"/>
      <c r="F31" s="270"/>
    </row>
    <row r="32" spans="1:6" ht="15" customHeight="1">
      <c r="A32" s="277" t="s">
        <v>20</v>
      </c>
      <c r="B32" s="278"/>
      <c r="C32" s="279" t="s">
        <v>21</v>
      </c>
      <c r="D32" s="278"/>
      <c r="E32" s="278"/>
      <c r="F32" s="280"/>
    </row>
    <row r="33" spans="1:6" ht="15" customHeight="1">
      <c r="A33" s="277" t="s">
        <v>22</v>
      </c>
      <c r="B33" s="278"/>
      <c r="C33" s="279" t="s">
        <v>23</v>
      </c>
      <c r="D33" s="278"/>
      <c r="E33" s="278"/>
      <c r="F33" s="280"/>
    </row>
    <row r="34" spans="1:6" ht="15" customHeight="1">
      <c r="A34" s="284" t="s">
        <v>24</v>
      </c>
      <c r="B34" s="285"/>
      <c r="C34" s="284" t="s">
        <v>25</v>
      </c>
      <c r="D34" s="285"/>
      <c r="E34" s="285"/>
      <c r="F34" s="286"/>
    </row>
    <row r="35" spans="1:6" ht="27" customHeight="1">
      <c r="A35" s="271" t="s">
        <v>26</v>
      </c>
      <c r="B35" s="272"/>
      <c r="C35" s="272"/>
      <c r="D35" s="272"/>
      <c r="E35" s="272"/>
      <c r="F35" s="273"/>
    </row>
    <row r="36" spans="1:6" ht="20.45" customHeight="1">
      <c r="A36" s="274" t="s">
        <v>27</v>
      </c>
      <c r="B36" s="275"/>
      <c r="C36" s="275"/>
      <c r="D36" s="275"/>
      <c r="E36" s="275"/>
      <c r="F36" s="276"/>
    </row>
  </sheetData>
  <mergeCells count="21">
    <mergeCell ref="A35:F35"/>
    <mergeCell ref="A36:F36"/>
    <mergeCell ref="A32:B32"/>
    <mergeCell ref="C32:F32"/>
    <mergeCell ref="A33:B33"/>
    <mergeCell ref="C33:F33"/>
    <mergeCell ref="A34:B34"/>
    <mergeCell ref="C34:F34"/>
    <mergeCell ref="A31:B31"/>
    <mergeCell ref="C31:F31"/>
    <mergeCell ref="B1:F1"/>
    <mergeCell ref="A2:F2"/>
    <mergeCell ref="C3:F3"/>
    <mergeCell ref="C4:F4"/>
    <mergeCell ref="C5:F5"/>
    <mergeCell ref="A25:E25"/>
    <mergeCell ref="A26:E26"/>
    <mergeCell ref="A27:E27"/>
    <mergeCell ref="A28:E28"/>
    <mergeCell ref="A29:E29"/>
    <mergeCell ref="A30:F30"/>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790C-9D50-4C17-AA7D-8CFE0C8476DF}">
  <dimension ref="A1:L28"/>
  <sheetViews>
    <sheetView topLeftCell="A16" workbookViewId="0">
      <selection activeCell="L9" sqref="L9"/>
    </sheetView>
  </sheetViews>
  <sheetFormatPr defaultRowHeight="15"/>
  <cols>
    <col min="1" max="1" width="5.28515625" customWidth="1"/>
    <col min="2" max="2" width="54.28515625" customWidth="1"/>
    <col min="3" max="3" width="5" customWidth="1"/>
    <col min="4" max="4" width="5.28515625" customWidth="1"/>
    <col min="5" max="5" width="9.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945</v>
      </c>
      <c r="C3" s="254" t="s">
        <v>939</v>
      </c>
      <c r="D3" s="255"/>
      <c r="E3" s="255"/>
      <c r="F3" s="256"/>
    </row>
    <row r="4" spans="1:12" ht="29.25" customHeight="1">
      <c r="A4" s="6"/>
      <c r="B4" s="7"/>
      <c r="C4" s="254" t="s">
        <v>949</v>
      </c>
      <c r="D4" s="255"/>
      <c r="E4" s="255"/>
      <c r="F4" s="256"/>
    </row>
    <row r="5" spans="1:12" ht="16.5" customHeight="1">
      <c r="A5" s="8"/>
      <c r="B5" s="2"/>
      <c r="C5" s="257" t="s">
        <v>9</v>
      </c>
      <c r="D5" s="258"/>
      <c r="E5" s="258"/>
      <c r="F5" s="259"/>
    </row>
    <row r="6" spans="1:12" ht="16.5">
      <c r="A6" s="9" t="s">
        <v>3</v>
      </c>
      <c r="B6" s="9" t="s">
        <v>4</v>
      </c>
      <c r="C6" s="9" t="s">
        <v>5</v>
      </c>
      <c r="D6" s="9" t="s">
        <v>10</v>
      </c>
      <c r="E6" s="9" t="s">
        <v>11</v>
      </c>
      <c r="F6" s="9" t="s">
        <v>12</v>
      </c>
      <c r="L6" s="177"/>
    </row>
    <row r="7" spans="1:12" ht="27.2" customHeight="1">
      <c r="A7" s="52"/>
      <c r="B7" s="202"/>
      <c r="C7" s="75"/>
      <c r="D7" s="75"/>
      <c r="E7" s="74"/>
      <c r="F7" s="74"/>
    </row>
    <row r="8" spans="1:12" ht="17.649999999999999" customHeight="1">
      <c r="A8" s="6">
        <v>1</v>
      </c>
      <c r="B8" s="189" t="s">
        <v>950</v>
      </c>
      <c r="C8" s="3">
        <v>1</v>
      </c>
      <c r="D8" s="3" t="s">
        <v>13</v>
      </c>
      <c r="E8" s="69">
        <v>57500</v>
      </c>
      <c r="F8" s="69">
        <f t="shared" ref="F8" si="0">C8*E8</f>
        <v>57500</v>
      </c>
    </row>
    <row r="9" spans="1:12" ht="15.95" customHeight="1">
      <c r="A9" s="6"/>
      <c r="B9" s="116" t="s">
        <v>940</v>
      </c>
      <c r="C9" s="68"/>
      <c r="D9" s="3"/>
      <c r="E9" s="69"/>
      <c r="F9" s="69"/>
    </row>
    <row r="10" spans="1:12" ht="15.6" customHeight="1">
      <c r="A10" s="6"/>
      <c r="B10" s="116" t="s">
        <v>941</v>
      </c>
      <c r="C10" s="68"/>
      <c r="D10" s="3"/>
      <c r="E10" s="69"/>
      <c r="F10" s="69"/>
    </row>
    <row r="11" spans="1:12" ht="15.95" customHeight="1">
      <c r="A11" s="6"/>
      <c r="B11" s="116" t="s">
        <v>942</v>
      </c>
      <c r="C11" s="68"/>
      <c r="D11" s="3"/>
      <c r="E11" s="69"/>
      <c r="F11" s="69"/>
    </row>
    <row r="12" spans="1:12" ht="15.95" customHeight="1">
      <c r="A12" s="6"/>
      <c r="B12" s="116" t="s">
        <v>943</v>
      </c>
      <c r="C12" s="68"/>
      <c r="D12" s="3"/>
      <c r="E12" s="69"/>
      <c r="F12" s="69"/>
    </row>
    <row r="13" spans="1:12" ht="15.95" customHeight="1">
      <c r="A13" s="6"/>
      <c r="B13" s="116" t="s">
        <v>944</v>
      </c>
      <c r="C13" s="68"/>
      <c r="D13" s="3"/>
      <c r="E13" s="69"/>
      <c r="F13" s="69"/>
    </row>
    <row r="14" spans="1:12" ht="15.95" customHeight="1">
      <c r="A14" s="6"/>
      <c r="B14" s="116" t="s">
        <v>946</v>
      </c>
      <c r="C14" s="68"/>
      <c r="D14" s="3"/>
      <c r="E14" s="69"/>
      <c r="F14" s="69"/>
    </row>
    <row r="15" spans="1:12" ht="15.95" customHeight="1">
      <c r="A15" s="6"/>
      <c r="B15" s="116"/>
      <c r="C15" s="68"/>
      <c r="D15" s="3"/>
      <c r="E15" s="69"/>
      <c r="F15" s="69"/>
    </row>
    <row r="16" spans="1:12" ht="15.95" customHeight="1">
      <c r="A16" s="6"/>
      <c r="B16" s="116"/>
      <c r="C16" s="68"/>
      <c r="D16" s="3"/>
      <c r="E16" s="69"/>
      <c r="F16" s="69"/>
    </row>
    <row r="17" spans="1:6" ht="15.95" customHeight="1">
      <c r="A17" s="104"/>
      <c r="B17" s="166"/>
      <c r="C17" s="80"/>
      <c r="D17" s="80"/>
      <c r="E17" s="106"/>
      <c r="F17" s="82"/>
    </row>
    <row r="18" spans="1:6" ht="15" customHeight="1">
      <c r="A18" s="287" t="s">
        <v>14</v>
      </c>
      <c r="B18" s="288"/>
      <c r="C18" s="288"/>
      <c r="D18" s="288"/>
      <c r="E18" s="289"/>
      <c r="F18" s="173">
        <f>SUM(F8:F17)</f>
        <v>57500</v>
      </c>
    </row>
    <row r="19" spans="1:6" ht="15" customHeight="1">
      <c r="A19" s="246" t="s">
        <v>15</v>
      </c>
      <c r="B19" s="247"/>
      <c r="C19" s="247"/>
      <c r="D19" s="247"/>
      <c r="E19" s="248"/>
      <c r="F19" s="83">
        <f>+F18*9%</f>
        <v>5175</v>
      </c>
    </row>
    <row r="20" spans="1:6" ht="15" customHeight="1">
      <c r="A20" s="246" t="s">
        <v>16</v>
      </c>
      <c r="B20" s="247"/>
      <c r="C20" s="247"/>
      <c r="D20" s="247"/>
      <c r="E20" s="248"/>
      <c r="F20" s="83">
        <f>+F18*9%</f>
        <v>5175</v>
      </c>
    </row>
    <row r="21" spans="1:6" ht="15" customHeight="1">
      <c r="A21" s="260" t="s">
        <v>17</v>
      </c>
      <c r="B21" s="261"/>
      <c r="C21" s="261"/>
      <c r="D21" s="261"/>
      <c r="E21" s="262"/>
      <c r="F21" s="84">
        <f>SUM(F18:F20)</f>
        <v>67850</v>
      </c>
    </row>
    <row r="22" spans="1:6" ht="31.35" customHeight="1">
      <c r="A22" s="263" t="s">
        <v>947</v>
      </c>
      <c r="B22" s="264"/>
      <c r="C22" s="264"/>
      <c r="D22" s="264"/>
      <c r="E22" s="264"/>
      <c r="F22" s="265"/>
    </row>
    <row r="23" spans="1:6" ht="15" customHeight="1">
      <c r="A23" s="316" t="s">
        <v>936</v>
      </c>
      <c r="B23" s="317"/>
      <c r="C23" s="268" t="s">
        <v>19</v>
      </c>
      <c r="D23" s="269"/>
      <c r="E23" s="269"/>
      <c r="F23" s="270"/>
    </row>
    <row r="24" spans="1:6" ht="15" customHeight="1">
      <c r="A24" s="277" t="s">
        <v>20</v>
      </c>
      <c r="B24" s="278"/>
      <c r="C24" s="279" t="s">
        <v>21</v>
      </c>
      <c r="D24" s="278"/>
      <c r="E24" s="278"/>
      <c r="F24" s="280"/>
    </row>
    <row r="25" spans="1:6" ht="15" customHeight="1">
      <c r="A25" s="281" t="s">
        <v>948</v>
      </c>
      <c r="B25" s="283"/>
      <c r="C25" s="279" t="s">
        <v>23</v>
      </c>
      <c r="D25" s="278"/>
      <c r="E25" s="278"/>
      <c r="F25" s="280"/>
    </row>
    <row r="26" spans="1:6" ht="15" customHeight="1">
      <c r="A26" s="277" t="s">
        <v>22</v>
      </c>
      <c r="B26" s="278"/>
      <c r="C26" s="279" t="s">
        <v>25</v>
      </c>
      <c r="D26" s="278"/>
      <c r="E26" s="278"/>
      <c r="F26" s="280"/>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18:E18"/>
    <mergeCell ref="B1:F1"/>
    <mergeCell ref="A2:F2"/>
    <mergeCell ref="C3:F3"/>
    <mergeCell ref="C4:F4"/>
    <mergeCell ref="C5:F5"/>
    <mergeCell ref="A19:E19"/>
    <mergeCell ref="A20:E20"/>
    <mergeCell ref="A21:E21"/>
    <mergeCell ref="A22:F22"/>
    <mergeCell ref="A23:B23"/>
    <mergeCell ref="C23:F23"/>
    <mergeCell ref="A27:F27"/>
    <mergeCell ref="A28:F28"/>
    <mergeCell ref="A24:B24"/>
    <mergeCell ref="C24:F24"/>
    <mergeCell ref="A25:B25"/>
    <mergeCell ref="C25:F25"/>
    <mergeCell ref="A26:B26"/>
    <mergeCell ref="C26:F2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5513-74B1-4919-A9EF-8777CC8CCB34}">
  <dimension ref="A1:L31"/>
  <sheetViews>
    <sheetView topLeftCell="A13" workbookViewId="0">
      <selection activeCell="A27" sqref="A27:B27"/>
    </sheetView>
  </sheetViews>
  <sheetFormatPr defaultRowHeight="15"/>
  <cols>
    <col min="1" max="1" width="5.28515625" customWidth="1"/>
    <col min="2" max="2" width="52.8554687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926</v>
      </c>
      <c r="C3" s="254" t="s">
        <v>930</v>
      </c>
      <c r="D3" s="255"/>
      <c r="E3" s="255"/>
      <c r="F3" s="256"/>
    </row>
    <row r="4" spans="1:12" ht="29.25" customHeight="1">
      <c r="A4" s="6"/>
      <c r="B4" s="7" t="s">
        <v>927</v>
      </c>
      <c r="C4" s="254" t="s">
        <v>929</v>
      </c>
      <c r="D4" s="255"/>
      <c r="E4" s="255"/>
      <c r="F4" s="256"/>
    </row>
    <row r="5" spans="1:12" ht="16.5" customHeight="1">
      <c r="A5" s="8"/>
      <c r="B5" s="2" t="s">
        <v>928</v>
      </c>
      <c r="C5" s="257" t="s">
        <v>9</v>
      </c>
      <c r="D5" s="258"/>
      <c r="E5" s="258"/>
      <c r="F5" s="259"/>
    </row>
    <row r="6" spans="1:12" ht="16.5">
      <c r="A6" s="9" t="s">
        <v>3</v>
      </c>
      <c r="B6" s="9" t="s">
        <v>4</v>
      </c>
      <c r="C6" s="9" t="s">
        <v>5</v>
      </c>
      <c r="D6" s="9" t="s">
        <v>10</v>
      </c>
      <c r="E6" s="9" t="s">
        <v>11</v>
      </c>
      <c r="F6" s="9" t="s">
        <v>12</v>
      </c>
      <c r="L6" s="177"/>
    </row>
    <row r="7" spans="1:12" ht="27.2" customHeight="1">
      <c r="A7" s="52"/>
      <c r="B7" s="202" t="s">
        <v>935</v>
      </c>
      <c r="C7" s="75"/>
      <c r="D7" s="75"/>
      <c r="E7" s="74"/>
      <c r="F7" s="74"/>
    </row>
    <row r="8" spans="1:12" ht="17.649999999999999" customHeight="1">
      <c r="A8" s="6">
        <v>1</v>
      </c>
      <c r="B8" s="189" t="s">
        <v>934</v>
      </c>
      <c r="C8" s="3">
        <v>1</v>
      </c>
      <c r="D8" s="3" t="s">
        <v>13</v>
      </c>
      <c r="E8" s="69">
        <v>277770</v>
      </c>
      <c r="F8" s="69">
        <f t="shared" ref="F8:F11" si="0">C8*E8</f>
        <v>277770</v>
      </c>
    </row>
    <row r="9" spans="1:12" ht="15.95" customHeight="1">
      <c r="A9" s="6"/>
      <c r="B9" s="116" t="s">
        <v>933</v>
      </c>
      <c r="C9" s="68"/>
      <c r="D9" s="3"/>
      <c r="E9" s="69"/>
      <c r="F9" s="69"/>
    </row>
    <row r="10" spans="1:12" ht="15.6" customHeight="1">
      <c r="A10" s="6"/>
      <c r="B10" s="116"/>
      <c r="C10" s="68"/>
      <c r="D10" s="3"/>
      <c r="E10" s="69"/>
      <c r="F10" s="69"/>
    </row>
    <row r="11" spans="1:12" ht="15.95" customHeight="1">
      <c r="A11" s="6">
        <v>2</v>
      </c>
      <c r="B11" s="116" t="s">
        <v>931</v>
      </c>
      <c r="C11" s="68">
        <v>1</v>
      </c>
      <c r="D11" s="3" t="s">
        <v>154</v>
      </c>
      <c r="E11" s="69">
        <v>8000</v>
      </c>
      <c r="F11" s="69">
        <f t="shared" si="0"/>
        <v>8000</v>
      </c>
    </row>
    <row r="12" spans="1:12" ht="15.6" customHeight="1">
      <c r="A12" s="6"/>
      <c r="B12" s="116"/>
      <c r="C12" s="68"/>
      <c r="D12" s="3"/>
      <c r="E12" s="69"/>
      <c r="F12" s="69"/>
    </row>
    <row r="13" spans="1:12" ht="15.95" customHeight="1">
      <c r="A13" s="6"/>
      <c r="B13" s="116"/>
      <c r="C13" s="68"/>
      <c r="D13" s="3"/>
      <c r="E13" s="69"/>
      <c r="F13" s="69"/>
    </row>
    <row r="14" spans="1:12" ht="15.95" customHeight="1">
      <c r="A14" s="6"/>
      <c r="B14" s="116"/>
      <c r="C14" s="68"/>
      <c r="D14" s="3"/>
      <c r="E14" s="69"/>
      <c r="F14" s="69"/>
    </row>
    <row r="15" spans="1:12" ht="15.95" customHeight="1">
      <c r="A15" s="6"/>
      <c r="B15" s="179"/>
      <c r="C15" s="68"/>
      <c r="D15" s="3"/>
      <c r="E15" s="69"/>
      <c r="F15" s="69"/>
    </row>
    <row r="16" spans="1:12" ht="15.95" customHeight="1">
      <c r="A16" s="6"/>
      <c r="B16" s="7"/>
      <c r="C16" s="68"/>
      <c r="D16" s="3"/>
      <c r="E16" s="69"/>
      <c r="F16" s="69"/>
    </row>
    <row r="17" spans="1:6" ht="15.95" customHeight="1">
      <c r="A17" s="6"/>
      <c r="B17" s="7"/>
      <c r="C17" s="68"/>
      <c r="D17" s="3"/>
      <c r="E17" s="69"/>
      <c r="F17" s="69"/>
    </row>
    <row r="18" spans="1:6" ht="15.95" customHeight="1">
      <c r="A18" s="104"/>
      <c r="B18" s="166"/>
      <c r="C18" s="80"/>
      <c r="D18" s="80"/>
      <c r="E18" s="106"/>
      <c r="F18" s="82"/>
    </row>
    <row r="19" spans="1:6" ht="15" customHeight="1">
      <c r="A19" s="287" t="s">
        <v>14</v>
      </c>
      <c r="B19" s="288"/>
      <c r="C19" s="288"/>
      <c r="D19" s="288"/>
      <c r="E19" s="289"/>
      <c r="F19" s="173">
        <f>SUM(F8:F18)</f>
        <v>285770</v>
      </c>
    </row>
    <row r="20" spans="1:6" ht="15" customHeight="1">
      <c r="A20" s="246" t="s">
        <v>15</v>
      </c>
      <c r="B20" s="247"/>
      <c r="C20" s="247"/>
      <c r="D20" s="247"/>
      <c r="E20" s="248"/>
      <c r="F20" s="83">
        <f>+F19*9%</f>
        <v>25719.3</v>
      </c>
    </row>
    <row r="21" spans="1:6" ht="15" customHeight="1">
      <c r="A21" s="246" t="s">
        <v>16</v>
      </c>
      <c r="B21" s="247"/>
      <c r="C21" s="247"/>
      <c r="D21" s="247"/>
      <c r="E21" s="248"/>
      <c r="F21" s="83">
        <f>+F19*9%</f>
        <v>25719.3</v>
      </c>
    </row>
    <row r="22" spans="1:6" ht="15" customHeight="1">
      <c r="A22" s="246" t="s">
        <v>938</v>
      </c>
      <c r="B22" s="247"/>
      <c r="C22" s="247"/>
      <c r="D22" s="247"/>
      <c r="E22" s="248"/>
      <c r="F22" s="203">
        <v>0.4</v>
      </c>
    </row>
    <row r="23" spans="1:6" ht="15" customHeight="1">
      <c r="A23" s="260" t="s">
        <v>17</v>
      </c>
      <c r="B23" s="261"/>
      <c r="C23" s="261"/>
      <c r="D23" s="261"/>
      <c r="E23" s="262"/>
      <c r="F23" s="84">
        <f>SUM(F19:F22)</f>
        <v>337209</v>
      </c>
    </row>
    <row r="24" spans="1:6" ht="31.35" customHeight="1">
      <c r="A24" s="263" t="s">
        <v>937</v>
      </c>
      <c r="B24" s="264"/>
      <c r="C24" s="264"/>
      <c r="D24" s="264"/>
      <c r="E24" s="264"/>
      <c r="F24" s="265"/>
    </row>
    <row r="25" spans="1:6" ht="15" customHeight="1">
      <c r="A25" s="316" t="s">
        <v>936</v>
      </c>
      <c r="B25" s="317"/>
      <c r="C25" s="268" t="s">
        <v>19</v>
      </c>
      <c r="D25" s="269"/>
      <c r="E25" s="269"/>
      <c r="F25" s="270"/>
    </row>
    <row r="26" spans="1:6" ht="15" customHeight="1">
      <c r="A26" s="281" t="s">
        <v>187</v>
      </c>
      <c r="B26" s="283"/>
      <c r="C26" s="279" t="s">
        <v>21</v>
      </c>
      <c r="D26" s="278"/>
      <c r="E26" s="278"/>
      <c r="F26" s="280"/>
    </row>
    <row r="27" spans="1:6" ht="15" customHeight="1">
      <c r="A27" s="281" t="s">
        <v>159</v>
      </c>
      <c r="B27" s="283"/>
      <c r="C27" s="279" t="s">
        <v>23</v>
      </c>
      <c r="D27" s="278"/>
      <c r="E27" s="278"/>
      <c r="F27" s="280"/>
    </row>
    <row r="28" spans="1:6" ht="15" customHeight="1">
      <c r="A28" s="281" t="s">
        <v>932</v>
      </c>
      <c r="B28" s="282"/>
      <c r="C28" s="279" t="s">
        <v>25</v>
      </c>
      <c r="D28" s="278"/>
      <c r="E28" s="278"/>
      <c r="F28" s="280"/>
    </row>
    <row r="29" spans="1:6" ht="15" customHeight="1">
      <c r="A29" s="318" t="s">
        <v>161</v>
      </c>
      <c r="B29" s="319"/>
      <c r="C29" s="284"/>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3">
    <mergeCell ref="A30:F30"/>
    <mergeCell ref="A31:F31"/>
    <mergeCell ref="C28:F28"/>
    <mergeCell ref="A28:B28"/>
    <mergeCell ref="A22:E22"/>
    <mergeCell ref="A26:B26"/>
    <mergeCell ref="C26:F26"/>
    <mergeCell ref="A27:B27"/>
    <mergeCell ref="C27:F27"/>
    <mergeCell ref="A29:B29"/>
    <mergeCell ref="C29:F29"/>
    <mergeCell ref="A20:E20"/>
    <mergeCell ref="A21:E21"/>
    <mergeCell ref="A23:E23"/>
    <mergeCell ref="A24:F24"/>
    <mergeCell ref="A25:B25"/>
    <mergeCell ref="C25:F25"/>
    <mergeCell ref="A19:E19"/>
    <mergeCell ref="B1:F1"/>
    <mergeCell ref="A2:F2"/>
    <mergeCell ref="C3:F3"/>
    <mergeCell ref="C4:F4"/>
    <mergeCell ref="C5:F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6E3D-2C3B-4FDC-B724-129207D59E33}">
  <dimension ref="A1:L29"/>
  <sheetViews>
    <sheetView topLeftCell="A4" workbookViewId="0">
      <selection activeCell="A26" sqref="A26:B26"/>
    </sheetView>
  </sheetViews>
  <sheetFormatPr defaultRowHeight="15"/>
  <cols>
    <col min="1" max="1" width="5.28515625" customWidth="1"/>
    <col min="2" max="2" width="52.8554687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807</v>
      </c>
      <c r="C3" s="254" t="s">
        <v>920</v>
      </c>
      <c r="D3" s="255"/>
      <c r="E3" s="255"/>
      <c r="F3" s="256"/>
    </row>
    <row r="4" spans="1:12" ht="29.25" customHeight="1">
      <c r="A4" s="6"/>
      <c r="B4" s="7" t="s">
        <v>808</v>
      </c>
      <c r="C4" s="254" t="s">
        <v>896</v>
      </c>
      <c r="D4" s="255"/>
      <c r="E4" s="255"/>
      <c r="F4" s="256"/>
    </row>
    <row r="5" spans="1:12" ht="16.5" customHeight="1">
      <c r="A5" s="8"/>
      <c r="B5" s="2" t="s">
        <v>809</v>
      </c>
      <c r="C5" s="257" t="s">
        <v>9</v>
      </c>
      <c r="D5" s="258"/>
      <c r="E5" s="258"/>
      <c r="F5" s="259"/>
    </row>
    <row r="6" spans="1:12" ht="16.5">
      <c r="A6" s="9" t="s">
        <v>3</v>
      </c>
      <c r="B6" s="9" t="s">
        <v>4</v>
      </c>
      <c r="C6" s="9" t="s">
        <v>5</v>
      </c>
      <c r="D6" s="9" t="s">
        <v>10</v>
      </c>
      <c r="E6" s="9" t="s">
        <v>11</v>
      </c>
      <c r="F6" s="9" t="s">
        <v>12</v>
      </c>
      <c r="L6" s="177"/>
    </row>
    <row r="7" spans="1:12" ht="27.2" customHeight="1">
      <c r="A7" s="52"/>
      <c r="B7" s="59"/>
      <c r="C7" s="75"/>
      <c r="D7" s="75"/>
      <c r="E7" s="74"/>
      <c r="F7" s="74"/>
    </row>
    <row r="8" spans="1:12" ht="17.649999999999999" customHeight="1">
      <c r="A8" s="6">
        <v>1</v>
      </c>
      <c r="B8" s="189" t="s">
        <v>921</v>
      </c>
      <c r="C8" s="3">
        <v>1</v>
      </c>
      <c r="D8" s="3" t="s">
        <v>13</v>
      </c>
      <c r="E8" s="69">
        <v>5000</v>
      </c>
      <c r="F8" s="69">
        <f t="shared" ref="F8:F11" si="0">C8*E8</f>
        <v>5000</v>
      </c>
    </row>
    <row r="9" spans="1:12" ht="15.95" customHeight="1">
      <c r="A9" s="6">
        <v>2</v>
      </c>
      <c r="B9" s="116" t="s">
        <v>922</v>
      </c>
      <c r="C9" s="68">
        <v>1</v>
      </c>
      <c r="D9" s="3" t="s">
        <v>60</v>
      </c>
      <c r="E9" s="69">
        <v>16000</v>
      </c>
      <c r="F9" s="69">
        <f t="shared" si="0"/>
        <v>16000</v>
      </c>
    </row>
    <row r="10" spans="1:12" ht="33.950000000000003" customHeight="1">
      <c r="A10" s="6"/>
      <c r="B10" s="116" t="s">
        <v>925</v>
      </c>
      <c r="C10" s="68"/>
      <c r="D10" s="3"/>
      <c r="E10" s="69"/>
      <c r="F10" s="69"/>
    </row>
    <row r="11" spans="1:12" ht="15.95" customHeight="1">
      <c r="A11" s="6">
        <v>3</v>
      </c>
      <c r="B11" s="116" t="s">
        <v>924</v>
      </c>
      <c r="C11" s="68">
        <v>1</v>
      </c>
      <c r="D11" s="3" t="s">
        <v>60</v>
      </c>
      <c r="E11" s="69">
        <v>4000</v>
      </c>
      <c r="F11" s="69">
        <f t="shared" si="0"/>
        <v>4000</v>
      </c>
    </row>
    <row r="12" spans="1:12" ht="15.6" customHeight="1">
      <c r="A12" s="6"/>
      <c r="B12" s="116"/>
      <c r="C12" s="68"/>
      <c r="D12" s="3"/>
      <c r="E12" s="69"/>
      <c r="F12" s="69"/>
    </row>
    <row r="13" spans="1:12" ht="15.95" customHeight="1">
      <c r="A13" s="6"/>
      <c r="B13" s="116"/>
      <c r="C13" s="68"/>
      <c r="D13" s="3"/>
      <c r="E13" s="69"/>
      <c r="F13" s="69"/>
    </row>
    <row r="14" spans="1:12" ht="15.95" customHeight="1">
      <c r="A14" s="6"/>
      <c r="B14" s="116"/>
      <c r="C14" s="68"/>
      <c r="D14" s="3"/>
      <c r="E14" s="69"/>
      <c r="F14" s="69"/>
    </row>
    <row r="15" spans="1:12" ht="15.95" customHeight="1">
      <c r="A15" s="6"/>
      <c r="B15" s="179"/>
      <c r="C15" s="68"/>
      <c r="D15" s="3"/>
      <c r="E15" s="69"/>
      <c r="F15" s="69"/>
    </row>
    <row r="16" spans="1:12" ht="15.95" customHeight="1">
      <c r="A16" s="6"/>
      <c r="B16" s="7"/>
      <c r="C16" s="68"/>
      <c r="D16" s="3"/>
      <c r="E16" s="69"/>
      <c r="F16" s="69"/>
    </row>
    <row r="17" spans="1:6" ht="15.95" customHeight="1">
      <c r="A17" s="6"/>
      <c r="B17" s="7"/>
      <c r="C17" s="68"/>
      <c r="D17" s="3"/>
      <c r="E17" s="69"/>
      <c r="F17" s="69"/>
    </row>
    <row r="18" spans="1:6" ht="15.95" customHeight="1">
      <c r="A18" s="104"/>
      <c r="B18" s="166"/>
      <c r="C18" s="80"/>
      <c r="D18" s="80"/>
      <c r="E18" s="106"/>
      <c r="F18" s="82"/>
    </row>
    <row r="19" spans="1:6" ht="15" customHeight="1">
      <c r="A19" s="287" t="s">
        <v>14</v>
      </c>
      <c r="B19" s="288"/>
      <c r="C19" s="288"/>
      <c r="D19" s="288"/>
      <c r="E19" s="289"/>
      <c r="F19" s="173">
        <f>SUM(F8:F18)</f>
        <v>25000</v>
      </c>
    </row>
    <row r="20" spans="1:6" ht="15" customHeight="1">
      <c r="A20" s="246" t="s">
        <v>15</v>
      </c>
      <c r="B20" s="247"/>
      <c r="C20" s="247"/>
      <c r="D20" s="247"/>
      <c r="E20" s="248"/>
      <c r="F20" s="83">
        <f>+F19*9%</f>
        <v>2250</v>
      </c>
    </row>
    <row r="21" spans="1:6" ht="15" customHeight="1">
      <c r="A21" s="246" t="s">
        <v>16</v>
      </c>
      <c r="B21" s="247"/>
      <c r="C21" s="247"/>
      <c r="D21" s="247"/>
      <c r="E21" s="248"/>
      <c r="F21" s="83">
        <f>+F19*9%</f>
        <v>2250</v>
      </c>
    </row>
    <row r="22" spans="1:6" ht="15" customHeight="1">
      <c r="A22" s="260" t="s">
        <v>17</v>
      </c>
      <c r="B22" s="261"/>
      <c r="C22" s="261"/>
      <c r="D22" s="261"/>
      <c r="E22" s="262"/>
      <c r="F22" s="84">
        <f>SUM(F19:F21)</f>
        <v>29500</v>
      </c>
    </row>
    <row r="23" spans="1:6" ht="31.35" customHeight="1">
      <c r="A23" s="263" t="s">
        <v>923</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19:E19"/>
    <mergeCell ref="B1:F1"/>
    <mergeCell ref="A2:F2"/>
    <mergeCell ref="C3:F3"/>
    <mergeCell ref="C4:F4"/>
    <mergeCell ref="C5:F5"/>
    <mergeCell ref="A20:E20"/>
    <mergeCell ref="A21:E21"/>
    <mergeCell ref="A22:E22"/>
    <mergeCell ref="A23:F23"/>
    <mergeCell ref="A24:B24"/>
    <mergeCell ref="C24:F24"/>
    <mergeCell ref="A28:F28"/>
    <mergeCell ref="A29:F29"/>
    <mergeCell ref="A25:B25"/>
    <mergeCell ref="C25:F25"/>
    <mergeCell ref="A26:B26"/>
    <mergeCell ref="C26:F26"/>
    <mergeCell ref="A27:B27"/>
    <mergeCell ref="C27:F27"/>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D506-4568-48DC-BDA6-BC58F6CCD6C2}">
  <dimension ref="A1:L28"/>
  <sheetViews>
    <sheetView topLeftCell="A4" workbookViewId="0">
      <selection activeCell="K13" sqref="K13"/>
    </sheetView>
  </sheetViews>
  <sheetFormatPr defaultRowHeight="15"/>
  <cols>
    <col min="1" max="1" width="5.28515625" customWidth="1"/>
    <col min="2" max="2" width="46.8554687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919</v>
      </c>
      <c r="D3" s="255"/>
      <c r="E3" s="255"/>
      <c r="F3" s="256"/>
    </row>
    <row r="4" spans="1:12" ht="29.25" customHeight="1">
      <c r="A4" s="6"/>
      <c r="B4" s="7" t="s">
        <v>8</v>
      </c>
      <c r="C4" s="254" t="s">
        <v>896</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20.45" customHeight="1">
      <c r="A7" s="52"/>
      <c r="B7" s="59"/>
      <c r="C7" s="75"/>
      <c r="D7" s="75"/>
      <c r="E7" s="74"/>
      <c r="F7" s="74"/>
    </row>
    <row r="8" spans="1:12" ht="15" customHeight="1">
      <c r="A8" s="6">
        <v>1</v>
      </c>
      <c r="B8" s="201" t="s">
        <v>915</v>
      </c>
      <c r="C8" s="3">
        <v>15</v>
      </c>
      <c r="D8" s="3" t="s">
        <v>13</v>
      </c>
      <c r="E8" s="69">
        <v>750</v>
      </c>
      <c r="F8" s="69">
        <f t="shared" ref="F8:F10" si="0">C8*E8</f>
        <v>11250</v>
      </c>
    </row>
    <row r="9" spans="1:12" ht="15" customHeight="1">
      <c r="A9" s="6">
        <v>2</v>
      </c>
      <c r="B9" s="201" t="s">
        <v>916</v>
      </c>
      <c r="C9" s="3">
        <v>15</v>
      </c>
      <c r="D9" s="3" t="s">
        <v>13</v>
      </c>
      <c r="E9" s="69">
        <v>2400</v>
      </c>
      <c r="F9" s="69">
        <f t="shared" si="0"/>
        <v>36000</v>
      </c>
    </row>
    <row r="10" spans="1:12" ht="15" customHeight="1">
      <c r="A10" s="6">
        <v>3</v>
      </c>
      <c r="B10" s="201" t="s">
        <v>917</v>
      </c>
      <c r="C10" s="3">
        <v>15</v>
      </c>
      <c r="D10" s="3" t="s">
        <v>13</v>
      </c>
      <c r="E10" s="69">
        <v>1550</v>
      </c>
      <c r="F10" s="69">
        <f t="shared" si="0"/>
        <v>23250</v>
      </c>
    </row>
    <row r="11" spans="1:12" ht="15" customHeight="1">
      <c r="A11" s="6"/>
      <c r="B11" s="7"/>
      <c r="C11" s="68"/>
      <c r="D11" s="3"/>
      <c r="E11" s="69"/>
      <c r="F11" s="69"/>
    </row>
    <row r="12" spans="1:12" ht="15" customHeight="1">
      <c r="A12" s="6"/>
      <c r="B12" s="7"/>
      <c r="C12" s="68"/>
      <c r="D12" s="3"/>
      <c r="E12" s="69"/>
      <c r="F12" s="69"/>
    </row>
    <row r="13" spans="1:12" ht="15" customHeight="1">
      <c r="A13" s="6"/>
      <c r="B13" s="7"/>
      <c r="C13" s="68"/>
      <c r="D13" s="3"/>
      <c r="E13" s="69"/>
      <c r="F13" s="69"/>
    </row>
    <row r="14" spans="1:12" ht="15" customHeight="1">
      <c r="A14" s="6"/>
      <c r="B14" s="7"/>
      <c r="C14" s="68"/>
      <c r="D14" s="3"/>
      <c r="E14" s="69"/>
      <c r="F14" s="69"/>
    </row>
    <row r="15" spans="1:12" ht="15" customHeight="1">
      <c r="A15" s="6"/>
      <c r="B15" s="179"/>
      <c r="C15" s="68"/>
      <c r="D15" s="3"/>
      <c r="E15" s="69"/>
      <c r="F15" s="69"/>
    </row>
    <row r="16" spans="1:12" ht="15" customHeight="1">
      <c r="A16" s="104"/>
      <c r="B16" s="166"/>
      <c r="C16" s="80"/>
      <c r="D16" s="80"/>
      <c r="E16" s="106"/>
      <c r="F16" s="82"/>
    </row>
    <row r="17" spans="1:6" ht="15" customHeight="1">
      <c r="A17" s="287" t="s">
        <v>119</v>
      </c>
      <c r="B17" s="288"/>
      <c r="C17" s="288"/>
      <c r="D17" s="288"/>
      <c r="E17" s="289"/>
      <c r="F17" s="69">
        <v>-1410</v>
      </c>
    </row>
    <row r="18" spans="1:6" ht="15" customHeight="1">
      <c r="A18" s="246" t="s">
        <v>14</v>
      </c>
      <c r="B18" s="247"/>
      <c r="C18" s="247"/>
      <c r="D18" s="247"/>
      <c r="E18" s="248"/>
      <c r="F18" s="83">
        <f>SUM(F8:F17)</f>
        <v>69090</v>
      </c>
    </row>
    <row r="19" spans="1:6" ht="15" customHeight="1">
      <c r="A19" s="246" t="s">
        <v>15</v>
      </c>
      <c r="B19" s="247"/>
      <c r="C19" s="247"/>
      <c r="D19" s="247"/>
      <c r="E19" s="248"/>
      <c r="F19" s="83">
        <f>+F18*9%</f>
        <v>6218.0999999999995</v>
      </c>
    </row>
    <row r="20" spans="1:6" ht="15" customHeight="1">
      <c r="A20" s="246" t="s">
        <v>16</v>
      </c>
      <c r="B20" s="247"/>
      <c r="C20" s="247"/>
      <c r="D20" s="247"/>
      <c r="E20" s="248"/>
      <c r="F20" s="83">
        <f>+F18*9%</f>
        <v>6218.0999999999995</v>
      </c>
    </row>
    <row r="21" spans="1:6" ht="15" customHeight="1">
      <c r="A21" s="260" t="s">
        <v>17</v>
      </c>
      <c r="B21" s="261"/>
      <c r="C21" s="261"/>
      <c r="D21" s="261"/>
      <c r="E21" s="262"/>
      <c r="F21" s="84">
        <f>SUM(F18:F20)</f>
        <v>81526.200000000012</v>
      </c>
    </row>
    <row r="22" spans="1:6" ht="31.35" customHeight="1">
      <c r="A22" s="263" t="s">
        <v>918</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1">
    <mergeCell ref="A27:F27"/>
    <mergeCell ref="A28:F28"/>
    <mergeCell ref="A17:E17"/>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A944D-995F-46C6-AF06-04AB895B7FC1}">
  <dimension ref="A1:F36"/>
  <sheetViews>
    <sheetView workbookViewId="0">
      <selection activeCell="I4" sqref="I4"/>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09.35" customHeight="1">
      <c r="A1" s="1"/>
      <c r="B1" s="290" t="s">
        <v>0</v>
      </c>
      <c r="C1" s="290"/>
      <c r="D1" s="290"/>
      <c r="E1" s="290"/>
      <c r="F1" s="291"/>
    </row>
    <row r="2" spans="1:6" ht="18" customHeight="1">
      <c r="A2" s="251" t="s">
        <v>6</v>
      </c>
      <c r="B2" s="252"/>
      <c r="C2" s="252"/>
      <c r="D2" s="252"/>
      <c r="E2" s="252"/>
      <c r="F2" s="253"/>
    </row>
    <row r="3" spans="1:6" ht="17.25">
      <c r="A3" s="4" t="s">
        <v>7</v>
      </c>
      <c r="B3" s="5" t="s">
        <v>61</v>
      </c>
      <c r="C3" s="254" t="s">
        <v>904</v>
      </c>
      <c r="D3" s="255"/>
      <c r="E3" s="255"/>
      <c r="F3" s="256"/>
    </row>
    <row r="4" spans="1:6" ht="29.25" customHeight="1">
      <c r="A4" s="6"/>
      <c r="B4" s="7" t="s">
        <v>62</v>
      </c>
      <c r="C4" s="254" t="s">
        <v>896</v>
      </c>
      <c r="D4" s="255"/>
      <c r="E4" s="255"/>
      <c r="F4" s="256"/>
    </row>
    <row r="5" spans="1:6" ht="16.5" customHeight="1">
      <c r="A5" s="8"/>
      <c r="B5" s="2" t="s">
        <v>63</v>
      </c>
      <c r="C5" s="257" t="s">
        <v>9</v>
      </c>
      <c r="D5" s="258"/>
      <c r="E5" s="258"/>
      <c r="F5" s="259"/>
    </row>
    <row r="6" spans="1:6" ht="16.5">
      <c r="A6" s="9" t="s">
        <v>3</v>
      </c>
      <c r="B6" s="9" t="s">
        <v>4</v>
      </c>
      <c r="C6" s="9" t="s">
        <v>5</v>
      </c>
      <c r="D6" s="9" t="s">
        <v>10</v>
      </c>
      <c r="E6" s="9" t="s">
        <v>11</v>
      </c>
      <c r="F6" s="9" t="s">
        <v>12</v>
      </c>
    </row>
    <row r="7" spans="1:6" ht="15" customHeight="1">
      <c r="A7" s="6"/>
      <c r="B7" s="151"/>
      <c r="C7" s="68"/>
      <c r="D7" s="68"/>
      <c r="E7" s="69"/>
      <c r="F7" s="69"/>
    </row>
    <row r="8" spans="1:6" ht="15.95" customHeight="1">
      <c r="A8" s="6">
        <v>1</v>
      </c>
      <c r="B8" s="114" t="s">
        <v>909</v>
      </c>
      <c r="C8" s="68">
        <v>4</v>
      </c>
      <c r="D8" s="68" t="s">
        <v>13</v>
      </c>
      <c r="E8" s="69">
        <v>1200</v>
      </c>
      <c r="F8" s="69">
        <f>C8*E8</f>
        <v>4800</v>
      </c>
    </row>
    <row r="9" spans="1:6" ht="15.95" customHeight="1">
      <c r="A9" s="6"/>
      <c r="B9" s="114" t="s">
        <v>910</v>
      </c>
      <c r="C9" s="68"/>
      <c r="D9" s="68"/>
      <c r="E9" s="69"/>
      <c r="F9" s="69"/>
    </row>
    <row r="10" spans="1:6" ht="8.1" customHeight="1">
      <c r="A10" s="6"/>
      <c r="B10" s="114"/>
      <c r="C10" s="68"/>
      <c r="D10" s="68"/>
      <c r="E10" s="69"/>
      <c r="F10" s="69"/>
    </row>
    <row r="11" spans="1:6" ht="15.95" customHeight="1">
      <c r="A11" s="6">
        <v>2</v>
      </c>
      <c r="B11" s="114" t="s">
        <v>547</v>
      </c>
      <c r="C11" s="68">
        <v>4</v>
      </c>
      <c r="D11" s="68" t="s">
        <v>13</v>
      </c>
      <c r="E11" s="69">
        <v>4850</v>
      </c>
      <c r="F11" s="69">
        <f>C11*E11</f>
        <v>19400</v>
      </c>
    </row>
    <row r="12" spans="1:6" ht="15.95" customHeight="1">
      <c r="A12" s="6"/>
      <c r="B12" s="114" t="s">
        <v>548</v>
      </c>
      <c r="C12" s="68"/>
      <c r="D12" s="68"/>
      <c r="E12" s="69"/>
      <c r="F12" s="69"/>
    </row>
    <row r="13" spans="1:6" ht="15.95" customHeight="1">
      <c r="A13" s="6"/>
      <c r="B13" s="114" t="s">
        <v>549</v>
      </c>
      <c r="C13" s="68"/>
      <c r="D13" s="68"/>
      <c r="E13" s="69"/>
      <c r="F13" s="69"/>
    </row>
    <row r="14" spans="1:6" ht="15.95" customHeight="1">
      <c r="A14" s="6"/>
      <c r="B14" s="114" t="s">
        <v>550</v>
      </c>
      <c r="C14" s="68"/>
      <c r="D14" s="68"/>
      <c r="E14" s="69"/>
      <c r="F14" s="69"/>
    </row>
    <row r="15" spans="1:6" ht="15.95" customHeight="1">
      <c r="A15" s="6"/>
      <c r="B15" s="114" t="s">
        <v>554</v>
      </c>
      <c r="C15" s="68"/>
      <c r="D15" s="68"/>
      <c r="E15" s="69"/>
      <c r="F15" s="69"/>
    </row>
    <row r="16" spans="1:6" ht="8.85" customHeight="1">
      <c r="A16" s="6"/>
      <c r="B16" s="114"/>
      <c r="C16" s="68"/>
      <c r="D16" s="68"/>
      <c r="E16" s="69"/>
      <c r="F16" s="69"/>
    </row>
    <row r="17" spans="1:6" ht="15.95" customHeight="1">
      <c r="A17" s="6">
        <v>3</v>
      </c>
      <c r="B17" s="114" t="s">
        <v>907</v>
      </c>
      <c r="C17" s="68">
        <v>12</v>
      </c>
      <c r="D17" s="68" t="s">
        <v>13</v>
      </c>
      <c r="E17" s="69">
        <v>1650</v>
      </c>
      <c r="F17" s="69">
        <f>C17*E17</f>
        <v>19800</v>
      </c>
    </row>
    <row r="18" spans="1:6" ht="15.95" customHeight="1">
      <c r="A18" s="6"/>
      <c r="B18" s="151" t="s">
        <v>908</v>
      </c>
      <c r="C18" s="68"/>
      <c r="D18" s="68"/>
      <c r="E18" s="69"/>
      <c r="F18" s="69"/>
    </row>
    <row r="19" spans="1:6" ht="8.1" customHeight="1">
      <c r="A19" s="6"/>
      <c r="B19" s="114"/>
      <c r="C19" s="68"/>
      <c r="D19" s="68"/>
      <c r="E19" s="69"/>
      <c r="F19" s="69"/>
    </row>
    <row r="20" spans="1:6" ht="15.95" customHeight="1">
      <c r="A20" s="6">
        <v>4</v>
      </c>
      <c r="B20" s="114" t="s">
        <v>912</v>
      </c>
      <c r="C20" s="68">
        <v>2</v>
      </c>
      <c r="D20" s="68" t="s">
        <v>13</v>
      </c>
      <c r="E20" s="69">
        <v>5000</v>
      </c>
      <c r="F20" s="69">
        <f>C20*E20</f>
        <v>10000</v>
      </c>
    </row>
    <row r="21" spans="1:6" ht="15.95" customHeight="1">
      <c r="A21" s="6"/>
      <c r="B21" s="114" t="s">
        <v>913</v>
      </c>
      <c r="C21" s="68"/>
      <c r="D21" s="68"/>
      <c r="E21" s="69"/>
      <c r="F21" s="69"/>
    </row>
    <row r="22" spans="1:6" ht="15.95" customHeight="1">
      <c r="A22" s="6"/>
      <c r="B22" s="114" t="s">
        <v>911</v>
      </c>
      <c r="C22" s="68"/>
      <c r="D22" s="68"/>
      <c r="E22" s="69"/>
      <c r="F22" s="69"/>
    </row>
    <row r="23" spans="1:6" ht="6.75" customHeight="1">
      <c r="A23" s="6"/>
      <c r="B23" s="114"/>
      <c r="C23" s="68"/>
      <c r="D23" s="68"/>
      <c r="E23" s="69"/>
      <c r="F23" s="69"/>
    </row>
    <row r="24" spans="1:6" ht="15.95" customHeight="1">
      <c r="A24" s="6">
        <v>5</v>
      </c>
      <c r="B24" s="60" t="s">
        <v>906</v>
      </c>
      <c r="C24" s="68">
        <v>2</v>
      </c>
      <c r="D24" s="68" t="s">
        <v>13</v>
      </c>
      <c r="E24" s="69">
        <v>5000</v>
      </c>
      <c r="F24" s="69">
        <f>C24*E24</f>
        <v>10000</v>
      </c>
    </row>
    <row r="25" spans="1:6" ht="15.95" customHeight="1">
      <c r="A25" s="104"/>
      <c r="B25" s="166" t="s">
        <v>905</v>
      </c>
      <c r="C25" s="193"/>
      <c r="D25" s="193"/>
      <c r="E25" s="82"/>
      <c r="F25" s="82"/>
    </row>
    <row r="26" spans="1:6" ht="15.75">
      <c r="A26" s="246" t="s">
        <v>14</v>
      </c>
      <c r="B26" s="247"/>
      <c r="C26" s="247"/>
      <c r="D26" s="247"/>
      <c r="E26" s="248"/>
      <c r="F26" s="83">
        <f>SUM(F7:F25)</f>
        <v>64000</v>
      </c>
    </row>
    <row r="27" spans="1:6" ht="15.75">
      <c r="A27" s="246" t="s">
        <v>15</v>
      </c>
      <c r="B27" s="247"/>
      <c r="C27" s="247"/>
      <c r="D27" s="247"/>
      <c r="E27" s="248"/>
      <c r="F27" s="83">
        <f>+F26*9%</f>
        <v>5760</v>
      </c>
    </row>
    <row r="28" spans="1:6" ht="15.75">
      <c r="A28" s="246" t="s">
        <v>16</v>
      </c>
      <c r="B28" s="247"/>
      <c r="C28" s="247"/>
      <c r="D28" s="247"/>
      <c r="E28" s="248"/>
      <c r="F28" s="83">
        <f>+F26*9%</f>
        <v>5760</v>
      </c>
    </row>
    <row r="29" spans="1:6" ht="17.45" customHeight="1">
      <c r="A29" s="260" t="s">
        <v>17</v>
      </c>
      <c r="B29" s="261"/>
      <c r="C29" s="261"/>
      <c r="D29" s="261"/>
      <c r="E29" s="262"/>
      <c r="F29" s="84">
        <f>SUM(F26:F28)</f>
        <v>75520</v>
      </c>
    </row>
    <row r="30" spans="1:6" ht="18.399999999999999" customHeight="1">
      <c r="A30" s="263" t="s">
        <v>914</v>
      </c>
      <c r="B30" s="264"/>
      <c r="C30" s="264"/>
      <c r="D30" s="264"/>
      <c r="E30" s="264"/>
      <c r="F30" s="265"/>
    </row>
    <row r="31" spans="1:6" ht="15" customHeight="1">
      <c r="A31" s="266" t="s">
        <v>18</v>
      </c>
      <c r="B31" s="267"/>
      <c r="C31" s="268" t="s">
        <v>19</v>
      </c>
      <c r="D31" s="269"/>
      <c r="E31" s="269"/>
      <c r="F31" s="270"/>
    </row>
    <row r="32" spans="1:6" ht="15" customHeight="1">
      <c r="A32" s="277" t="s">
        <v>20</v>
      </c>
      <c r="B32" s="278"/>
      <c r="C32" s="279" t="s">
        <v>21</v>
      </c>
      <c r="D32" s="278"/>
      <c r="E32" s="278"/>
      <c r="F32" s="280"/>
    </row>
    <row r="33" spans="1:6" ht="15" customHeight="1">
      <c r="A33" s="277" t="s">
        <v>22</v>
      </c>
      <c r="B33" s="278"/>
      <c r="C33" s="279" t="s">
        <v>23</v>
      </c>
      <c r="D33" s="278"/>
      <c r="E33" s="278"/>
      <c r="F33" s="280"/>
    </row>
    <row r="34" spans="1:6" ht="15" customHeight="1">
      <c r="A34" s="284" t="s">
        <v>24</v>
      </c>
      <c r="B34" s="285"/>
      <c r="C34" s="284" t="s">
        <v>25</v>
      </c>
      <c r="D34" s="285"/>
      <c r="E34" s="285"/>
      <c r="F34" s="286"/>
    </row>
    <row r="35" spans="1:6" ht="27" customHeight="1">
      <c r="A35" s="271" t="s">
        <v>26</v>
      </c>
      <c r="B35" s="272"/>
      <c r="C35" s="272"/>
      <c r="D35" s="272"/>
      <c r="E35" s="272"/>
      <c r="F35" s="273"/>
    </row>
    <row r="36" spans="1:6" ht="26.45" customHeight="1">
      <c r="A36" s="274" t="s">
        <v>27</v>
      </c>
      <c r="B36" s="275"/>
      <c r="C36" s="275"/>
      <c r="D36" s="275"/>
      <c r="E36" s="275"/>
      <c r="F36" s="276"/>
    </row>
  </sheetData>
  <mergeCells count="20">
    <mergeCell ref="A26:E26"/>
    <mergeCell ref="B1:F1"/>
    <mergeCell ref="A2:F2"/>
    <mergeCell ref="C3:F3"/>
    <mergeCell ref="C4:F4"/>
    <mergeCell ref="C5:F5"/>
    <mergeCell ref="A27:E27"/>
    <mergeCell ref="A28:E28"/>
    <mergeCell ref="A29:E29"/>
    <mergeCell ref="A30:F30"/>
    <mergeCell ref="A31:B31"/>
    <mergeCell ref="C31:F31"/>
    <mergeCell ref="A35:F35"/>
    <mergeCell ref="A36:F36"/>
    <mergeCell ref="A32:B32"/>
    <mergeCell ref="C32:F32"/>
    <mergeCell ref="A33:B33"/>
    <mergeCell ref="C33:F33"/>
    <mergeCell ref="A34:B34"/>
    <mergeCell ref="C34:F34"/>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F6BB-A2C3-4C0F-81D5-EC3723D935A7}">
  <dimension ref="A1:F31"/>
  <sheetViews>
    <sheetView workbookViewId="0">
      <selection activeCell="H20" sqref="H20"/>
    </sheetView>
  </sheetViews>
  <sheetFormatPr defaultRowHeight="15"/>
  <cols>
    <col min="1" max="1" width="5.5703125" customWidth="1"/>
    <col min="2" max="2" width="52" customWidth="1"/>
    <col min="3" max="3" width="5.28515625" customWidth="1"/>
    <col min="4" max="4" width="6.140625" customWidth="1"/>
    <col min="5" max="5" width="9"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897</v>
      </c>
      <c r="C3" s="254" t="s">
        <v>895</v>
      </c>
      <c r="D3" s="255"/>
      <c r="E3" s="255"/>
      <c r="F3" s="256"/>
    </row>
    <row r="4" spans="1:6" ht="29.25" customHeight="1">
      <c r="A4" s="6"/>
      <c r="B4" s="7" t="s">
        <v>898</v>
      </c>
      <c r="C4" s="254" t="s">
        <v>896</v>
      </c>
      <c r="D4" s="255"/>
      <c r="E4" s="255"/>
      <c r="F4" s="256"/>
    </row>
    <row r="5" spans="1:6" ht="16.5" customHeight="1">
      <c r="A5" s="8"/>
      <c r="B5" s="2" t="s">
        <v>899</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c r="A8" s="136">
        <v>1</v>
      </c>
      <c r="B8" s="119" t="s">
        <v>888</v>
      </c>
      <c r="C8" s="134">
        <v>6</v>
      </c>
      <c r="D8" s="134" t="s">
        <v>13</v>
      </c>
      <c r="E8" s="135">
        <v>4000</v>
      </c>
      <c r="F8" s="135">
        <f>C8*E8</f>
        <v>24000</v>
      </c>
    </row>
    <row r="9" spans="1:6" ht="15.95" customHeight="1">
      <c r="A9" s="136"/>
      <c r="B9" s="123" t="s">
        <v>901</v>
      </c>
      <c r="C9" s="134"/>
      <c r="D9" s="134"/>
      <c r="E9" s="135"/>
      <c r="F9" s="135"/>
    </row>
    <row r="10" spans="1:6" ht="15.95" customHeight="1">
      <c r="A10" s="136"/>
      <c r="B10" s="119"/>
      <c r="C10" s="134"/>
      <c r="D10" s="134"/>
      <c r="E10" s="135"/>
      <c r="F10" s="135"/>
    </row>
    <row r="11" spans="1:6" ht="17.45" customHeight="1">
      <c r="A11" s="136">
        <v>2</v>
      </c>
      <c r="B11" s="119" t="s">
        <v>902</v>
      </c>
      <c r="C11" s="134">
        <v>6</v>
      </c>
      <c r="D11" s="134" t="s">
        <v>13</v>
      </c>
      <c r="E11" s="135">
        <v>5000</v>
      </c>
      <c r="F11" s="135">
        <f>C11*E11</f>
        <v>30000</v>
      </c>
    </row>
    <row r="12" spans="1:6" ht="15.95" customHeight="1">
      <c r="A12" s="136"/>
      <c r="B12" s="137" t="s">
        <v>894</v>
      </c>
      <c r="C12" s="134"/>
      <c r="D12" s="134"/>
      <c r="E12" s="135"/>
      <c r="F12" s="135"/>
    </row>
    <row r="13" spans="1:6" ht="15.95" customHeight="1">
      <c r="A13" s="136"/>
      <c r="B13" s="137"/>
      <c r="C13" s="134"/>
      <c r="D13" s="134"/>
      <c r="E13" s="135"/>
      <c r="F13" s="135"/>
    </row>
    <row r="14" spans="1:6" ht="15.95" customHeight="1">
      <c r="A14" s="136">
        <v>3</v>
      </c>
      <c r="B14" s="119" t="s">
        <v>889</v>
      </c>
      <c r="C14" s="134">
        <v>2</v>
      </c>
      <c r="D14" s="134" t="s">
        <v>13</v>
      </c>
      <c r="E14" s="135">
        <v>7500</v>
      </c>
      <c r="F14" s="135">
        <f>C14*E14</f>
        <v>15000</v>
      </c>
    </row>
    <row r="15" spans="1:6" ht="15.95" customHeight="1">
      <c r="A15" s="136"/>
      <c r="B15" s="165" t="s">
        <v>890</v>
      </c>
      <c r="C15" s="134"/>
      <c r="D15" s="134"/>
      <c r="E15" s="135"/>
      <c r="F15" s="135"/>
    </row>
    <row r="16" spans="1:6" ht="15.95" customHeight="1">
      <c r="A16" s="136"/>
      <c r="B16" s="165" t="s">
        <v>891</v>
      </c>
      <c r="C16" s="134"/>
      <c r="D16" s="134"/>
      <c r="E16" s="135"/>
      <c r="F16" s="135"/>
    </row>
    <row r="17" spans="1:6" ht="15.95" customHeight="1">
      <c r="A17" s="136"/>
      <c r="B17" s="165" t="s">
        <v>903</v>
      </c>
      <c r="C17" s="134"/>
      <c r="D17" s="134"/>
      <c r="E17" s="135"/>
      <c r="F17" s="135"/>
    </row>
    <row r="18" spans="1:6" ht="15.95" customHeight="1">
      <c r="A18" s="136"/>
      <c r="B18" s="165"/>
      <c r="C18" s="134"/>
      <c r="D18" s="134"/>
      <c r="E18" s="135"/>
      <c r="F18" s="135"/>
    </row>
    <row r="19" spans="1:6">
      <c r="A19" s="122">
        <v>4</v>
      </c>
      <c r="B19" s="119" t="s">
        <v>892</v>
      </c>
      <c r="C19" s="134">
        <v>15</v>
      </c>
      <c r="D19" s="134" t="s">
        <v>13</v>
      </c>
      <c r="E19" s="135">
        <v>450</v>
      </c>
      <c r="F19" s="135">
        <f>C19*E19</f>
        <v>6750</v>
      </c>
    </row>
    <row r="20" spans="1:6">
      <c r="A20" s="122"/>
      <c r="B20" s="125" t="s">
        <v>893</v>
      </c>
      <c r="C20" s="126"/>
      <c r="D20" s="126"/>
      <c r="E20" s="127"/>
      <c r="F20" s="121"/>
    </row>
    <row r="21" spans="1:6">
      <c r="A21" s="128"/>
      <c r="B21" s="129"/>
      <c r="C21" s="130"/>
      <c r="D21" s="130"/>
      <c r="E21" s="131"/>
      <c r="F21" s="132"/>
    </row>
    <row r="22" spans="1:6" ht="15.75">
      <c r="A22" s="246" t="s">
        <v>14</v>
      </c>
      <c r="B22" s="247"/>
      <c r="C22" s="247"/>
      <c r="D22" s="247"/>
      <c r="E22" s="248"/>
      <c r="F22" s="83">
        <f>SUM(F8:F21)</f>
        <v>75750</v>
      </c>
    </row>
    <row r="23" spans="1:6" ht="15.75">
      <c r="A23" s="246" t="s">
        <v>488</v>
      </c>
      <c r="B23" s="247"/>
      <c r="C23" s="247"/>
      <c r="D23" s="247"/>
      <c r="E23" s="248"/>
      <c r="F23" s="83">
        <f>+F22*18%</f>
        <v>13635</v>
      </c>
    </row>
    <row r="24" spans="1:6" ht="17.45" customHeight="1">
      <c r="A24" s="260" t="s">
        <v>17</v>
      </c>
      <c r="B24" s="261"/>
      <c r="C24" s="261"/>
      <c r="D24" s="261"/>
      <c r="E24" s="262"/>
      <c r="F24" s="84">
        <f>SUM(F22:F23)</f>
        <v>89385</v>
      </c>
    </row>
    <row r="25" spans="1:6" ht="33" customHeight="1">
      <c r="A25" s="263" t="s">
        <v>900</v>
      </c>
      <c r="B25" s="264"/>
      <c r="C25" s="264"/>
      <c r="D25" s="264"/>
      <c r="E25" s="264"/>
      <c r="F25" s="265"/>
    </row>
    <row r="26" spans="1:6" ht="15" customHeight="1">
      <c r="A26" s="266" t="s">
        <v>18</v>
      </c>
      <c r="B26" s="267"/>
      <c r="C26" s="268" t="s">
        <v>19</v>
      </c>
      <c r="D26" s="269"/>
      <c r="E26" s="269"/>
      <c r="F26" s="270"/>
    </row>
    <row r="27" spans="1:6" ht="15" customHeight="1">
      <c r="A27" s="277" t="s">
        <v>359</v>
      </c>
      <c r="B27" s="278"/>
      <c r="C27" s="279" t="s">
        <v>21</v>
      </c>
      <c r="D27" s="278"/>
      <c r="E27" s="278"/>
      <c r="F27" s="280"/>
    </row>
    <row r="28" spans="1:6" ht="15" customHeight="1">
      <c r="A28" s="277" t="s">
        <v>22</v>
      </c>
      <c r="B28" s="278"/>
      <c r="C28" s="279" t="s">
        <v>23</v>
      </c>
      <c r="D28" s="278"/>
      <c r="E28" s="278"/>
      <c r="F28" s="280"/>
    </row>
    <row r="29" spans="1:6" ht="15" customHeight="1">
      <c r="A29" s="284" t="s">
        <v>494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19">
    <mergeCell ref="A22:E22"/>
    <mergeCell ref="B1:F1"/>
    <mergeCell ref="A2:F2"/>
    <mergeCell ref="C3:F3"/>
    <mergeCell ref="C4:F4"/>
    <mergeCell ref="C5:F5"/>
    <mergeCell ref="A31:F31"/>
    <mergeCell ref="A23:E23"/>
    <mergeCell ref="A24:E24"/>
    <mergeCell ref="A25:F25"/>
    <mergeCell ref="A26:B26"/>
    <mergeCell ref="C26:F26"/>
    <mergeCell ref="A27:B27"/>
    <mergeCell ref="C27:F27"/>
    <mergeCell ref="A28:B28"/>
    <mergeCell ref="C28:F28"/>
    <mergeCell ref="A29:B29"/>
    <mergeCell ref="C29:F29"/>
    <mergeCell ref="A30:F30"/>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729CD-EA57-4308-8242-EC5559BE83CC}">
  <dimension ref="A1:G26"/>
  <sheetViews>
    <sheetView workbookViewId="0">
      <selection activeCell="I9" sqref="I9"/>
    </sheetView>
  </sheetViews>
  <sheetFormatPr defaultRowHeight="15"/>
  <cols>
    <col min="1" max="1" width="5.5703125" customWidth="1"/>
    <col min="2" max="2" width="43.140625" customWidth="1"/>
    <col min="3" max="3" width="6.85546875" customWidth="1"/>
    <col min="4" max="4" width="5.28515625" customWidth="1"/>
    <col min="5" max="5" width="6.140625" customWidth="1"/>
    <col min="6" max="6" width="11.140625" customWidth="1"/>
    <col min="7" max="7" width="10.85546875" customWidth="1"/>
  </cols>
  <sheetData>
    <row r="1" spans="1:7" ht="117" customHeight="1">
      <c r="A1" s="1"/>
      <c r="B1" s="290" t="s">
        <v>0</v>
      </c>
      <c r="C1" s="290"/>
      <c r="D1" s="290"/>
      <c r="E1" s="290"/>
      <c r="F1" s="290"/>
      <c r="G1" s="291"/>
    </row>
    <row r="2" spans="1:7" ht="18" customHeight="1">
      <c r="A2" s="251" t="s">
        <v>6</v>
      </c>
      <c r="B2" s="252"/>
      <c r="C2" s="252"/>
      <c r="D2" s="252"/>
      <c r="E2" s="252"/>
      <c r="F2" s="252"/>
      <c r="G2" s="253"/>
    </row>
    <row r="3" spans="1:7" ht="17.25">
      <c r="A3" s="4" t="s">
        <v>7</v>
      </c>
      <c r="B3" s="5" t="s">
        <v>490</v>
      </c>
      <c r="C3" s="221"/>
      <c r="D3" s="254" t="s">
        <v>885</v>
      </c>
      <c r="E3" s="255"/>
      <c r="F3" s="255"/>
      <c r="G3" s="256"/>
    </row>
    <row r="4" spans="1:7" ht="29.25" customHeight="1">
      <c r="A4" s="6"/>
      <c r="B4" s="7" t="s">
        <v>491</v>
      </c>
      <c r="C4" s="222"/>
      <c r="D4" s="254" t="s">
        <v>1021</v>
      </c>
      <c r="E4" s="255"/>
      <c r="F4" s="255"/>
      <c r="G4" s="256"/>
    </row>
    <row r="5" spans="1:7" ht="16.5" customHeight="1">
      <c r="A5" s="8"/>
      <c r="B5" s="2" t="s">
        <v>492</v>
      </c>
      <c r="C5" s="223"/>
      <c r="D5" s="257" t="s">
        <v>9</v>
      </c>
      <c r="E5" s="258"/>
      <c r="F5" s="258"/>
      <c r="G5" s="259"/>
    </row>
    <row r="6" spans="1:7" ht="16.5">
      <c r="A6" s="9" t="s">
        <v>3</v>
      </c>
      <c r="B6" s="9" t="s">
        <v>4</v>
      </c>
      <c r="C6" s="9" t="s">
        <v>1029</v>
      </c>
      <c r="D6" s="9" t="s">
        <v>5</v>
      </c>
      <c r="E6" s="9" t="s">
        <v>10</v>
      </c>
      <c r="F6" s="9" t="s">
        <v>11</v>
      </c>
      <c r="G6" s="9" t="s">
        <v>12</v>
      </c>
    </row>
    <row r="7" spans="1:7" ht="16.5">
      <c r="A7" s="74"/>
      <c r="B7" s="75"/>
      <c r="C7" s="228"/>
      <c r="D7" s="75"/>
      <c r="E7" s="75"/>
      <c r="F7" s="74"/>
      <c r="G7" s="74"/>
    </row>
    <row r="8" spans="1:7">
      <c r="A8" s="133">
        <v>1</v>
      </c>
      <c r="B8" s="119" t="s">
        <v>882</v>
      </c>
      <c r="C8" s="230">
        <v>9988</v>
      </c>
      <c r="D8" s="134">
        <v>1</v>
      </c>
      <c r="E8" s="134" t="s">
        <v>60</v>
      </c>
      <c r="F8" s="135">
        <v>3000</v>
      </c>
      <c r="G8" s="135">
        <f>D8*F8</f>
        <v>3000</v>
      </c>
    </row>
    <row r="9" spans="1:7" ht="15.95" customHeight="1">
      <c r="A9" s="136"/>
      <c r="B9" s="119"/>
      <c r="C9" s="230"/>
      <c r="D9" s="134"/>
      <c r="E9" s="134"/>
      <c r="F9" s="135"/>
      <c r="G9" s="135"/>
    </row>
    <row r="10" spans="1:7" ht="17.45" customHeight="1">
      <c r="A10" s="136">
        <v>2</v>
      </c>
      <c r="B10" s="119" t="s">
        <v>883</v>
      </c>
      <c r="C10" s="230">
        <v>9988</v>
      </c>
      <c r="D10" s="134">
        <v>1</v>
      </c>
      <c r="E10" s="134" t="s">
        <v>60</v>
      </c>
      <c r="F10" s="135">
        <v>3900</v>
      </c>
      <c r="G10" s="135">
        <f>D10*F10</f>
        <v>3900</v>
      </c>
    </row>
    <row r="11" spans="1:7" ht="15.95" customHeight="1">
      <c r="A11" s="136"/>
      <c r="B11" s="137"/>
      <c r="C11" s="231"/>
      <c r="D11" s="134"/>
      <c r="E11" s="134"/>
      <c r="F11" s="135"/>
      <c r="G11" s="135"/>
    </row>
    <row r="12" spans="1:7" ht="15.95" customHeight="1">
      <c r="A12" s="136">
        <v>3</v>
      </c>
      <c r="B12" s="119" t="s">
        <v>884</v>
      </c>
      <c r="C12" s="230">
        <v>9988</v>
      </c>
      <c r="D12" s="134">
        <v>1</v>
      </c>
      <c r="E12" s="134" t="s">
        <v>60</v>
      </c>
      <c r="F12" s="135">
        <v>1500</v>
      </c>
      <c r="G12" s="135">
        <f>D12*F12</f>
        <v>1500</v>
      </c>
    </row>
    <row r="13" spans="1:7" ht="15.95" customHeight="1">
      <c r="A13" s="136"/>
      <c r="B13" s="119"/>
      <c r="C13" s="230"/>
      <c r="D13" s="134"/>
      <c r="E13" s="134"/>
      <c r="F13" s="135"/>
      <c r="G13" s="135"/>
    </row>
    <row r="14" spans="1:7">
      <c r="A14" s="122">
        <v>4</v>
      </c>
      <c r="B14" s="119" t="s">
        <v>887</v>
      </c>
      <c r="C14" s="230">
        <v>9988</v>
      </c>
      <c r="D14" s="134">
        <v>1</v>
      </c>
      <c r="E14" s="134" t="s">
        <v>60</v>
      </c>
      <c r="F14" s="135">
        <v>3500</v>
      </c>
      <c r="G14" s="135">
        <f>D14*F14</f>
        <v>3500</v>
      </c>
    </row>
    <row r="15" spans="1:7">
      <c r="A15" s="122"/>
      <c r="B15" s="227"/>
      <c r="C15" s="125"/>
      <c r="D15" s="126"/>
      <c r="E15" s="126"/>
      <c r="F15" s="127"/>
      <c r="G15" s="121"/>
    </row>
    <row r="16" spans="1:7">
      <c r="A16" s="128"/>
      <c r="B16" s="129"/>
      <c r="C16" s="229"/>
      <c r="D16" s="130"/>
      <c r="E16" s="130"/>
      <c r="F16" s="131"/>
      <c r="G16" s="132"/>
    </row>
    <row r="17" spans="1:7" ht="15.75">
      <c r="A17" s="246" t="s">
        <v>14</v>
      </c>
      <c r="B17" s="247"/>
      <c r="C17" s="247"/>
      <c r="D17" s="247"/>
      <c r="E17" s="247"/>
      <c r="F17" s="248"/>
      <c r="G17" s="83">
        <f>SUM(G8:G16)</f>
        <v>11900</v>
      </c>
    </row>
    <row r="18" spans="1:7" ht="15.75">
      <c r="A18" s="246" t="s">
        <v>488</v>
      </c>
      <c r="B18" s="247"/>
      <c r="C18" s="247"/>
      <c r="D18" s="247"/>
      <c r="E18" s="247"/>
      <c r="F18" s="248"/>
      <c r="G18" s="83">
        <f>+G17*18%</f>
        <v>2142</v>
      </c>
    </row>
    <row r="19" spans="1:7" ht="17.45" customHeight="1">
      <c r="A19" s="260" t="s">
        <v>17</v>
      </c>
      <c r="B19" s="261"/>
      <c r="C19" s="261"/>
      <c r="D19" s="261"/>
      <c r="E19" s="261"/>
      <c r="F19" s="262"/>
      <c r="G19" s="84">
        <f>SUM(G17:G18)</f>
        <v>14042</v>
      </c>
    </row>
    <row r="20" spans="1:7" ht="33" customHeight="1">
      <c r="A20" s="263" t="s">
        <v>886</v>
      </c>
      <c r="B20" s="264"/>
      <c r="C20" s="264"/>
      <c r="D20" s="264"/>
      <c r="E20" s="264"/>
      <c r="F20" s="264"/>
      <c r="G20" s="265"/>
    </row>
    <row r="21" spans="1:7" ht="15" customHeight="1">
      <c r="A21" s="266" t="s">
        <v>18</v>
      </c>
      <c r="B21" s="267"/>
      <c r="C21" s="148"/>
      <c r="D21" s="268" t="s">
        <v>19</v>
      </c>
      <c r="E21" s="269"/>
      <c r="F21" s="269"/>
      <c r="G21" s="270"/>
    </row>
    <row r="22" spans="1:7" ht="15" customHeight="1">
      <c r="A22" s="277" t="s">
        <v>359</v>
      </c>
      <c r="B22" s="278"/>
      <c r="C22" s="47"/>
      <c r="D22" s="279" t="s">
        <v>21</v>
      </c>
      <c r="E22" s="278"/>
      <c r="F22" s="278"/>
      <c r="G22" s="280"/>
    </row>
    <row r="23" spans="1:7" ht="15" customHeight="1">
      <c r="A23" s="277" t="s">
        <v>22</v>
      </c>
      <c r="B23" s="278"/>
      <c r="C23" s="47"/>
      <c r="D23" s="279" t="s">
        <v>23</v>
      </c>
      <c r="E23" s="278"/>
      <c r="F23" s="278"/>
      <c r="G23" s="280"/>
    </row>
    <row r="24" spans="1:7" ht="15" customHeight="1">
      <c r="A24" s="284" t="s">
        <v>494</v>
      </c>
      <c r="B24" s="285"/>
      <c r="C24" s="149"/>
      <c r="D24" s="284" t="s">
        <v>25</v>
      </c>
      <c r="E24" s="285"/>
      <c r="F24" s="285"/>
      <c r="G24" s="286"/>
    </row>
    <row r="25" spans="1:7" ht="27" customHeight="1">
      <c r="A25" s="271" t="s">
        <v>26</v>
      </c>
      <c r="B25" s="272"/>
      <c r="C25" s="272"/>
      <c r="D25" s="272"/>
      <c r="E25" s="272"/>
      <c r="F25" s="272"/>
      <c r="G25" s="273"/>
    </row>
    <row r="26" spans="1:7" ht="26.45" customHeight="1">
      <c r="A26" s="274" t="s">
        <v>27</v>
      </c>
      <c r="B26" s="275"/>
      <c r="C26" s="275"/>
      <c r="D26" s="275"/>
      <c r="E26" s="275"/>
      <c r="F26" s="275"/>
      <c r="G26" s="276"/>
    </row>
  </sheetData>
  <mergeCells count="19">
    <mergeCell ref="A26:G26"/>
    <mergeCell ref="A18:F18"/>
    <mergeCell ref="A19:F19"/>
    <mergeCell ref="A20:G20"/>
    <mergeCell ref="A21:B21"/>
    <mergeCell ref="D21:G21"/>
    <mergeCell ref="A22:B22"/>
    <mergeCell ref="D22:G22"/>
    <mergeCell ref="A23:B23"/>
    <mergeCell ref="D23:G23"/>
    <mergeCell ref="A24:B24"/>
    <mergeCell ref="D24:G24"/>
    <mergeCell ref="A25:G25"/>
    <mergeCell ref="A17:F17"/>
    <mergeCell ref="B1:G1"/>
    <mergeCell ref="A2:G2"/>
    <mergeCell ref="D3:G3"/>
    <mergeCell ref="D4:G4"/>
    <mergeCell ref="D5:G5"/>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5B593-48A9-4E2F-A31F-AD5CD61403DF}">
  <dimension ref="A1:L27"/>
  <sheetViews>
    <sheetView workbookViewId="0">
      <selection activeCell="J13" sqref="J13"/>
    </sheetView>
  </sheetViews>
  <sheetFormatPr defaultRowHeight="15"/>
  <cols>
    <col min="1" max="1" width="5.28515625" customWidth="1"/>
    <col min="2" max="2" width="53.14062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869</v>
      </c>
      <c r="D3" s="255"/>
      <c r="E3" s="255"/>
      <c r="F3" s="256"/>
    </row>
    <row r="4" spans="1:12" ht="29.25" customHeight="1">
      <c r="A4" s="6"/>
      <c r="B4" s="7" t="s">
        <v>8</v>
      </c>
      <c r="C4" s="254" t="s">
        <v>832</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20.45" customHeight="1">
      <c r="A7" s="52"/>
      <c r="B7" s="59"/>
      <c r="C7" s="75"/>
      <c r="D7" s="75"/>
      <c r="E7" s="74"/>
      <c r="F7" s="74"/>
    </row>
    <row r="8" spans="1:12" ht="15" customHeight="1">
      <c r="A8" s="6">
        <v>1</v>
      </c>
      <c r="B8" s="77" t="s">
        <v>870</v>
      </c>
      <c r="C8" s="3">
        <v>1</v>
      </c>
      <c r="D8" s="3" t="s">
        <v>60</v>
      </c>
      <c r="E8" s="69">
        <v>9500</v>
      </c>
      <c r="F8" s="69">
        <f t="shared" ref="F8:F10" si="0">C8*E8</f>
        <v>9500</v>
      </c>
    </row>
    <row r="9" spans="1:12" ht="15" customHeight="1">
      <c r="A9" s="6"/>
      <c r="B9" s="77"/>
      <c r="C9" s="3"/>
      <c r="D9" s="3"/>
      <c r="E9" s="69"/>
      <c r="F9" s="69"/>
    </row>
    <row r="10" spans="1:12" ht="15" customHeight="1">
      <c r="A10" s="6">
        <v>2</v>
      </c>
      <c r="B10" s="77" t="s">
        <v>872</v>
      </c>
      <c r="C10" s="3">
        <v>1</v>
      </c>
      <c r="D10" s="3" t="s">
        <v>112</v>
      </c>
      <c r="E10" s="69">
        <v>6000</v>
      </c>
      <c r="F10" s="69">
        <f t="shared" si="0"/>
        <v>6000</v>
      </c>
    </row>
    <row r="11" spans="1:12" ht="15" customHeight="1">
      <c r="A11" s="6"/>
      <c r="B11" s="7"/>
      <c r="C11" s="68"/>
      <c r="D11" s="3"/>
      <c r="E11" s="69"/>
      <c r="F11" s="69"/>
    </row>
    <row r="12" spans="1:12" ht="15" customHeight="1">
      <c r="A12" s="6"/>
      <c r="B12" s="7"/>
      <c r="C12" s="68"/>
      <c r="D12" s="3"/>
      <c r="E12" s="69"/>
      <c r="F12" s="69"/>
    </row>
    <row r="13" spans="1:12" ht="15" customHeight="1">
      <c r="A13" s="6"/>
      <c r="B13" s="7"/>
      <c r="C13" s="68"/>
      <c r="D13" s="3"/>
      <c r="E13" s="69"/>
      <c r="F13" s="69"/>
    </row>
    <row r="14" spans="1:12" ht="15" customHeight="1">
      <c r="A14" s="6"/>
      <c r="B14" s="7"/>
      <c r="C14" s="68"/>
      <c r="D14" s="3"/>
      <c r="E14" s="69"/>
      <c r="F14" s="69"/>
    </row>
    <row r="15" spans="1:12" ht="15" customHeight="1">
      <c r="A15" s="6"/>
      <c r="B15" s="179"/>
      <c r="C15" s="68"/>
      <c r="D15" s="3"/>
      <c r="E15" s="69"/>
      <c r="F15" s="69"/>
    </row>
    <row r="16" spans="1:12" ht="15" customHeight="1">
      <c r="A16" s="104"/>
      <c r="B16" s="166"/>
      <c r="C16" s="80"/>
      <c r="D16" s="80"/>
      <c r="E16" s="106"/>
      <c r="F16" s="82"/>
    </row>
    <row r="17" spans="1:6" ht="15" customHeight="1">
      <c r="A17" s="287" t="s">
        <v>14</v>
      </c>
      <c r="B17" s="288"/>
      <c r="C17" s="288"/>
      <c r="D17" s="288"/>
      <c r="E17" s="289"/>
      <c r="F17" s="173">
        <f>SUM(F8:F16)</f>
        <v>15500</v>
      </c>
    </row>
    <row r="18" spans="1:6" ht="15" customHeight="1">
      <c r="A18" s="246" t="s">
        <v>15</v>
      </c>
      <c r="B18" s="247"/>
      <c r="C18" s="247"/>
      <c r="D18" s="247"/>
      <c r="E18" s="248"/>
      <c r="F18" s="83">
        <f>+F17*9%</f>
        <v>1395</v>
      </c>
    </row>
    <row r="19" spans="1:6" ht="15" customHeight="1">
      <c r="A19" s="246" t="s">
        <v>16</v>
      </c>
      <c r="B19" s="247"/>
      <c r="C19" s="247"/>
      <c r="D19" s="247"/>
      <c r="E19" s="248"/>
      <c r="F19" s="83">
        <f>+F17*9%</f>
        <v>1395</v>
      </c>
    </row>
    <row r="20" spans="1:6" ht="15" customHeight="1">
      <c r="A20" s="260" t="s">
        <v>17</v>
      </c>
      <c r="B20" s="261"/>
      <c r="C20" s="261"/>
      <c r="D20" s="261"/>
      <c r="E20" s="262"/>
      <c r="F20" s="84">
        <f>SUM(F17:F19)</f>
        <v>18290</v>
      </c>
    </row>
    <row r="21" spans="1:6" ht="31.35" customHeight="1">
      <c r="A21" s="263" t="s">
        <v>871</v>
      </c>
      <c r="B21" s="264"/>
      <c r="C21" s="264"/>
      <c r="D21" s="264"/>
      <c r="E21" s="264"/>
      <c r="F21" s="265"/>
    </row>
    <row r="22" spans="1:6" ht="15" customHeight="1">
      <c r="A22" s="266" t="s">
        <v>18</v>
      </c>
      <c r="B22" s="267"/>
      <c r="C22" s="268" t="s">
        <v>19</v>
      </c>
      <c r="D22" s="269"/>
      <c r="E22" s="269"/>
      <c r="F22" s="270"/>
    </row>
    <row r="23" spans="1:6" ht="15" customHeight="1">
      <c r="A23" s="277" t="s">
        <v>20</v>
      </c>
      <c r="B23" s="278"/>
      <c r="C23" s="279" t="s">
        <v>21</v>
      </c>
      <c r="D23" s="278"/>
      <c r="E23" s="278"/>
      <c r="F23" s="280"/>
    </row>
    <row r="24" spans="1:6" ht="15" customHeight="1">
      <c r="A24" s="277" t="s">
        <v>22</v>
      </c>
      <c r="B24" s="278"/>
      <c r="C24" s="279" t="s">
        <v>23</v>
      </c>
      <c r="D24" s="278"/>
      <c r="E24" s="278"/>
      <c r="F24" s="280"/>
    </row>
    <row r="25" spans="1:6" ht="15" customHeight="1">
      <c r="A25" s="284" t="s">
        <v>24</v>
      </c>
      <c r="B25" s="285"/>
      <c r="C25" s="284" t="s">
        <v>25</v>
      </c>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0">
    <mergeCell ref="A17:E17"/>
    <mergeCell ref="B1:F1"/>
    <mergeCell ref="A2:F2"/>
    <mergeCell ref="C3:F3"/>
    <mergeCell ref="C4:F4"/>
    <mergeCell ref="C5:F5"/>
    <mergeCell ref="A18:E18"/>
    <mergeCell ref="A19:E19"/>
    <mergeCell ref="A20:E20"/>
    <mergeCell ref="A21:F21"/>
    <mergeCell ref="A22:B22"/>
    <mergeCell ref="C22:F22"/>
    <mergeCell ref="A26:F26"/>
    <mergeCell ref="A27:F27"/>
    <mergeCell ref="A23:B23"/>
    <mergeCell ref="C23:F23"/>
    <mergeCell ref="A24:B24"/>
    <mergeCell ref="C24:F24"/>
    <mergeCell ref="A25:B25"/>
    <mergeCell ref="C25:F25"/>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543C-7FE0-40DC-A4EF-6188C79310AC}">
  <dimension ref="A1:L26"/>
  <sheetViews>
    <sheetView workbookViewId="0">
      <selection activeCell="H10" sqref="H10"/>
    </sheetView>
  </sheetViews>
  <sheetFormatPr defaultRowHeight="15"/>
  <cols>
    <col min="1" max="1" width="5.28515625" customWidth="1"/>
    <col min="2" max="2" width="53.14062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864</v>
      </c>
      <c r="D3" s="255"/>
      <c r="E3" s="255"/>
      <c r="F3" s="256"/>
    </row>
    <row r="4" spans="1:12" ht="29.25" customHeight="1">
      <c r="A4" s="6"/>
      <c r="B4" s="7" t="s">
        <v>8</v>
      </c>
      <c r="C4" s="254" t="s">
        <v>832</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20.45" customHeight="1">
      <c r="A7" s="52"/>
      <c r="B7" s="59"/>
      <c r="C7" s="75"/>
      <c r="D7" s="75"/>
      <c r="E7" s="74"/>
      <c r="F7" s="74"/>
    </row>
    <row r="8" spans="1:12" ht="15" customHeight="1">
      <c r="A8" s="6">
        <v>1</v>
      </c>
      <c r="B8" s="77" t="s">
        <v>865</v>
      </c>
      <c r="C8" s="3">
        <v>2</v>
      </c>
      <c r="D8" s="3" t="s">
        <v>13</v>
      </c>
      <c r="E8" s="69">
        <v>7500</v>
      </c>
      <c r="F8" s="69">
        <f t="shared" ref="F8" si="0">C8*E8</f>
        <v>15000</v>
      </c>
    </row>
    <row r="9" spans="1:12" ht="15" customHeight="1">
      <c r="A9" s="6"/>
      <c r="B9" s="60" t="s">
        <v>866</v>
      </c>
      <c r="C9" s="3"/>
      <c r="D9" s="3"/>
      <c r="E9" s="69"/>
      <c r="F9" s="69"/>
    </row>
    <row r="10" spans="1:12" ht="15" customHeight="1">
      <c r="A10" s="6"/>
      <c r="B10" s="7" t="s">
        <v>867</v>
      </c>
      <c r="C10" s="68"/>
      <c r="D10" s="3"/>
      <c r="E10" s="69"/>
      <c r="F10" s="69"/>
    </row>
    <row r="11" spans="1:12" ht="15" customHeight="1">
      <c r="A11" s="6"/>
      <c r="B11" s="7"/>
      <c r="C11" s="68"/>
      <c r="D11" s="3"/>
      <c r="E11" s="69"/>
      <c r="F11" s="69"/>
    </row>
    <row r="12" spans="1:12" ht="15" customHeight="1">
      <c r="A12" s="6"/>
      <c r="B12" s="7"/>
      <c r="C12" s="68"/>
      <c r="D12" s="3"/>
      <c r="E12" s="69"/>
      <c r="F12" s="69"/>
    </row>
    <row r="13" spans="1:12" ht="15" customHeight="1">
      <c r="A13" s="6"/>
      <c r="B13" s="7"/>
      <c r="C13" s="68"/>
      <c r="D13" s="3"/>
      <c r="E13" s="69"/>
      <c r="F13" s="69"/>
    </row>
    <row r="14" spans="1:12" ht="15" customHeight="1">
      <c r="A14" s="6"/>
      <c r="B14" s="179"/>
      <c r="C14" s="68"/>
      <c r="D14" s="3"/>
      <c r="E14" s="69"/>
      <c r="F14" s="69"/>
    </row>
    <row r="15" spans="1:12" ht="15" customHeight="1">
      <c r="A15" s="104"/>
      <c r="B15" s="166"/>
      <c r="C15" s="80"/>
      <c r="D15" s="80"/>
      <c r="E15" s="106"/>
      <c r="F15" s="82"/>
    </row>
    <row r="16" spans="1:12" ht="15" customHeight="1">
      <c r="A16" s="287" t="s">
        <v>14</v>
      </c>
      <c r="B16" s="288"/>
      <c r="C16" s="288"/>
      <c r="D16" s="288"/>
      <c r="E16" s="289"/>
      <c r="F16" s="173">
        <f>SUM(F8:F15)</f>
        <v>15000</v>
      </c>
    </row>
    <row r="17" spans="1:6" ht="15" customHeight="1">
      <c r="A17" s="246" t="s">
        <v>15</v>
      </c>
      <c r="B17" s="247"/>
      <c r="C17" s="247"/>
      <c r="D17" s="247"/>
      <c r="E17" s="248"/>
      <c r="F17" s="83">
        <f>+F16*9%</f>
        <v>1350</v>
      </c>
    </row>
    <row r="18" spans="1:6" ht="15" customHeight="1">
      <c r="A18" s="246" t="s">
        <v>16</v>
      </c>
      <c r="B18" s="247"/>
      <c r="C18" s="247"/>
      <c r="D18" s="247"/>
      <c r="E18" s="248"/>
      <c r="F18" s="83">
        <f>+F16*9%</f>
        <v>1350</v>
      </c>
    </row>
    <row r="19" spans="1:6" ht="15" customHeight="1">
      <c r="A19" s="260" t="s">
        <v>17</v>
      </c>
      <c r="B19" s="261"/>
      <c r="C19" s="261"/>
      <c r="D19" s="261"/>
      <c r="E19" s="262"/>
      <c r="F19" s="84">
        <f>SUM(F16:F18)</f>
        <v>17700</v>
      </c>
    </row>
    <row r="20" spans="1:6" ht="31.35" customHeight="1">
      <c r="A20" s="263" t="s">
        <v>868</v>
      </c>
      <c r="B20" s="264"/>
      <c r="C20" s="264"/>
      <c r="D20" s="264"/>
      <c r="E20" s="264"/>
      <c r="F20" s="265"/>
    </row>
    <row r="21" spans="1:6" ht="15" customHeight="1">
      <c r="A21" s="266" t="s">
        <v>18</v>
      </c>
      <c r="B21" s="267"/>
      <c r="C21" s="268" t="s">
        <v>19</v>
      </c>
      <c r="D21" s="269"/>
      <c r="E21" s="269"/>
      <c r="F21" s="270"/>
    </row>
    <row r="22" spans="1:6" ht="15" customHeight="1">
      <c r="A22" s="277" t="s">
        <v>20</v>
      </c>
      <c r="B22" s="278"/>
      <c r="C22" s="279" t="s">
        <v>21</v>
      </c>
      <c r="D22" s="278"/>
      <c r="E22" s="278"/>
      <c r="F22" s="280"/>
    </row>
    <row r="23" spans="1:6" ht="15" customHeight="1">
      <c r="A23" s="277" t="s">
        <v>22</v>
      </c>
      <c r="B23" s="278"/>
      <c r="C23" s="279" t="s">
        <v>23</v>
      </c>
      <c r="D23" s="278"/>
      <c r="E23" s="278"/>
      <c r="F23" s="280"/>
    </row>
    <row r="24" spans="1:6" ht="15" customHeight="1">
      <c r="A24" s="284" t="s">
        <v>24</v>
      </c>
      <c r="B24" s="285"/>
      <c r="C24" s="284" t="s">
        <v>25</v>
      </c>
      <c r="D24" s="285"/>
      <c r="E24" s="285"/>
      <c r="F24" s="286"/>
    </row>
    <row r="25" spans="1:6" ht="27" customHeight="1">
      <c r="A25" s="271" t="s">
        <v>26</v>
      </c>
      <c r="B25" s="272"/>
      <c r="C25" s="272"/>
      <c r="D25" s="272"/>
      <c r="E25" s="272"/>
      <c r="F25" s="273"/>
    </row>
    <row r="26" spans="1:6" ht="26.45" customHeight="1">
      <c r="A26" s="274" t="s">
        <v>27</v>
      </c>
      <c r="B26" s="275"/>
      <c r="C26" s="275"/>
      <c r="D26" s="275"/>
      <c r="E26" s="275"/>
      <c r="F26" s="276"/>
    </row>
  </sheetData>
  <mergeCells count="20">
    <mergeCell ref="A16:E16"/>
    <mergeCell ref="B1:F1"/>
    <mergeCell ref="A2:F2"/>
    <mergeCell ref="C3:F3"/>
    <mergeCell ref="C4:F4"/>
    <mergeCell ref="C5:F5"/>
    <mergeCell ref="A17:E17"/>
    <mergeCell ref="A18:E18"/>
    <mergeCell ref="A19:E19"/>
    <mergeCell ref="A20:F20"/>
    <mergeCell ref="A21:B21"/>
    <mergeCell ref="C21:F21"/>
    <mergeCell ref="A25:F25"/>
    <mergeCell ref="A26:F26"/>
    <mergeCell ref="A22:B22"/>
    <mergeCell ref="C22:F22"/>
    <mergeCell ref="A23:B23"/>
    <mergeCell ref="C23:F23"/>
    <mergeCell ref="A24:B24"/>
    <mergeCell ref="C24:F24"/>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8FD2-91AA-4D9F-B4B1-8B084FBFC550}">
  <dimension ref="A1:L46"/>
  <sheetViews>
    <sheetView topLeftCell="A25" workbookViewId="0">
      <selection activeCell="A43" sqref="A43:B43"/>
    </sheetView>
  </sheetViews>
  <sheetFormatPr defaultRowHeight="15"/>
  <cols>
    <col min="1" max="1" width="5.28515625" customWidth="1"/>
    <col min="2" max="2" width="53.14062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833</v>
      </c>
      <c r="D3" s="255"/>
      <c r="E3" s="255"/>
      <c r="F3" s="256"/>
    </row>
    <row r="4" spans="1:12" ht="29.25" customHeight="1">
      <c r="A4" s="6"/>
      <c r="B4" s="7" t="s">
        <v>8</v>
      </c>
      <c r="C4" s="254" t="s">
        <v>832</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8.399999999999999" customHeight="1">
      <c r="A7" s="52"/>
      <c r="B7" s="59"/>
      <c r="C7" s="75"/>
      <c r="D7" s="75"/>
      <c r="E7" s="74"/>
      <c r="F7" s="74"/>
    </row>
    <row r="8" spans="1:12" ht="15.95" customHeight="1">
      <c r="A8" s="6">
        <v>1</v>
      </c>
      <c r="B8" s="77" t="s">
        <v>861</v>
      </c>
      <c r="C8" s="3">
        <v>2</v>
      </c>
      <c r="D8" s="3" t="s">
        <v>60</v>
      </c>
      <c r="E8" s="69">
        <v>351150</v>
      </c>
      <c r="F8" s="69">
        <f t="shared" ref="F8" si="0">C8*E8</f>
        <v>702300</v>
      </c>
    </row>
    <row r="9" spans="1:12" ht="15.95" customHeight="1">
      <c r="A9" s="6"/>
      <c r="B9" s="77" t="s">
        <v>862</v>
      </c>
      <c r="C9" s="3"/>
      <c r="D9" s="3"/>
      <c r="E9" s="69"/>
      <c r="F9" s="69"/>
    </row>
    <row r="10" spans="1:12" ht="15.95" customHeight="1">
      <c r="A10" s="6"/>
      <c r="B10" s="190" t="s">
        <v>834</v>
      </c>
      <c r="C10" s="3"/>
      <c r="D10" s="3"/>
      <c r="E10" s="69"/>
      <c r="F10" s="69"/>
    </row>
    <row r="11" spans="1:12" ht="15.95" customHeight="1">
      <c r="A11" s="6"/>
      <c r="B11" s="77" t="s">
        <v>845</v>
      </c>
      <c r="C11" s="3"/>
      <c r="D11" s="3"/>
      <c r="E11" s="69"/>
      <c r="F11" s="69"/>
    </row>
    <row r="12" spans="1:12" ht="15.95" customHeight="1">
      <c r="A12" s="6"/>
      <c r="B12" s="77" t="s">
        <v>847</v>
      </c>
      <c r="C12" s="3"/>
      <c r="D12" s="3"/>
      <c r="E12" s="69"/>
      <c r="F12" s="69"/>
    </row>
    <row r="13" spans="1:12" ht="15.95" customHeight="1">
      <c r="A13" s="6"/>
      <c r="B13" s="181" t="s">
        <v>852</v>
      </c>
      <c r="C13" s="3"/>
      <c r="D13" s="3"/>
      <c r="E13" s="69"/>
      <c r="F13" s="69"/>
    </row>
    <row r="14" spans="1:12" ht="15.95" customHeight="1">
      <c r="A14" s="6"/>
      <c r="B14" s="77" t="s">
        <v>850</v>
      </c>
      <c r="C14" s="3"/>
      <c r="D14" s="3"/>
      <c r="E14" s="69"/>
      <c r="F14" s="69"/>
    </row>
    <row r="15" spans="1:12" ht="15.95" customHeight="1">
      <c r="A15" s="6"/>
      <c r="B15" s="77" t="s">
        <v>848</v>
      </c>
      <c r="C15" s="3"/>
      <c r="D15" s="3"/>
      <c r="E15" s="69"/>
      <c r="F15" s="69"/>
    </row>
    <row r="16" spans="1:12" ht="15.95" customHeight="1">
      <c r="A16" s="6"/>
      <c r="B16" s="77" t="s">
        <v>849</v>
      </c>
      <c r="C16" s="3"/>
      <c r="D16" s="3"/>
      <c r="E16" s="69"/>
      <c r="F16" s="69"/>
    </row>
    <row r="17" spans="1:6" ht="15.95" customHeight="1">
      <c r="A17" s="6"/>
      <c r="B17" s="77" t="s">
        <v>846</v>
      </c>
      <c r="C17" s="3"/>
      <c r="D17" s="3"/>
      <c r="E17" s="69"/>
      <c r="F17" s="69"/>
    </row>
    <row r="18" spans="1:6" ht="15.95" customHeight="1">
      <c r="A18" s="6"/>
      <c r="B18" s="77" t="s">
        <v>853</v>
      </c>
      <c r="C18" s="3"/>
      <c r="D18" s="3"/>
      <c r="E18" s="69"/>
      <c r="F18" s="69"/>
    </row>
    <row r="19" spans="1:6" ht="15.95" customHeight="1">
      <c r="A19" s="6"/>
      <c r="B19" s="77" t="s">
        <v>836</v>
      </c>
      <c r="C19" s="3"/>
      <c r="D19" s="3"/>
      <c r="E19" s="69"/>
      <c r="F19" s="69"/>
    </row>
    <row r="20" spans="1:6" ht="15.95" customHeight="1">
      <c r="A20" s="6"/>
      <c r="B20" s="60" t="s">
        <v>837</v>
      </c>
      <c r="C20" s="3"/>
      <c r="D20" s="3"/>
      <c r="E20" s="69"/>
      <c r="F20" s="69"/>
    </row>
    <row r="21" spans="1:6" ht="15.95" customHeight="1">
      <c r="A21" s="6"/>
      <c r="B21" s="7" t="s">
        <v>838</v>
      </c>
      <c r="C21" s="68"/>
      <c r="D21" s="3"/>
      <c r="E21" s="69"/>
      <c r="F21" s="69"/>
    </row>
    <row r="22" spans="1:6" ht="15.95" customHeight="1">
      <c r="A22" s="6"/>
      <c r="B22" s="7" t="s">
        <v>851</v>
      </c>
      <c r="C22" s="68"/>
      <c r="D22" s="3"/>
      <c r="E22" s="69"/>
      <c r="F22" s="69"/>
    </row>
    <row r="23" spans="1:6" ht="15.95" customHeight="1">
      <c r="A23" s="6"/>
      <c r="B23" s="180" t="s">
        <v>835</v>
      </c>
      <c r="C23" s="68"/>
      <c r="D23" s="3"/>
      <c r="E23" s="69"/>
      <c r="F23" s="69"/>
    </row>
    <row r="24" spans="1:6" ht="15.95" customHeight="1">
      <c r="A24" s="6"/>
      <c r="B24" s="7" t="s">
        <v>839</v>
      </c>
      <c r="C24" s="68"/>
      <c r="D24" s="3"/>
      <c r="E24" s="69"/>
      <c r="F24" s="69"/>
    </row>
    <row r="25" spans="1:6" ht="15.95" customHeight="1">
      <c r="A25" s="6"/>
      <c r="B25" s="7" t="s">
        <v>840</v>
      </c>
      <c r="C25" s="68"/>
      <c r="D25" s="3"/>
      <c r="E25" s="69"/>
      <c r="F25" s="69"/>
    </row>
    <row r="26" spans="1:6" ht="15.95" customHeight="1">
      <c r="A26" s="6"/>
      <c r="B26" s="7" t="s">
        <v>841</v>
      </c>
      <c r="C26" s="68"/>
      <c r="D26" s="3"/>
      <c r="E26" s="69"/>
      <c r="F26" s="69"/>
    </row>
    <row r="27" spans="1:6" ht="15.95" customHeight="1">
      <c r="A27" s="6"/>
      <c r="B27" s="7" t="s">
        <v>842</v>
      </c>
      <c r="C27" s="68"/>
      <c r="D27" s="3"/>
      <c r="E27" s="69"/>
      <c r="F27" s="69"/>
    </row>
    <row r="28" spans="1:6" ht="15.95" customHeight="1">
      <c r="A28" s="6"/>
      <c r="B28" s="7" t="s">
        <v>843</v>
      </c>
      <c r="C28" s="68"/>
      <c r="D28" s="3"/>
      <c r="E28" s="69"/>
      <c r="F28" s="69"/>
    </row>
    <row r="29" spans="1:6" ht="15.95" customHeight="1">
      <c r="A29" s="6"/>
      <c r="B29" s="7" t="s">
        <v>844</v>
      </c>
      <c r="C29" s="68"/>
      <c r="D29" s="3"/>
      <c r="E29" s="69"/>
      <c r="F29" s="69"/>
    </row>
    <row r="30" spans="1:6" ht="15.95" customHeight="1">
      <c r="A30" s="6"/>
      <c r="B30" s="180" t="s">
        <v>854</v>
      </c>
      <c r="C30" s="68"/>
      <c r="D30" s="3"/>
      <c r="E30" s="69"/>
      <c r="F30" s="69"/>
    </row>
    <row r="31" spans="1:6" ht="15.95" customHeight="1">
      <c r="A31" s="6"/>
      <c r="B31" s="7" t="s">
        <v>855</v>
      </c>
      <c r="C31" s="68"/>
      <c r="D31" s="3"/>
      <c r="E31" s="69"/>
      <c r="F31" s="69"/>
    </row>
    <row r="32" spans="1:6" ht="15.95" customHeight="1">
      <c r="A32" s="6"/>
      <c r="B32" s="7" t="s">
        <v>856</v>
      </c>
      <c r="C32" s="68"/>
      <c r="D32" s="3"/>
      <c r="E32" s="69"/>
      <c r="F32" s="69"/>
    </row>
    <row r="33" spans="1:6" ht="15.95" customHeight="1">
      <c r="A33" s="6"/>
      <c r="B33" s="191" t="s">
        <v>858</v>
      </c>
      <c r="C33" s="68"/>
      <c r="D33" s="3"/>
      <c r="E33" s="69"/>
      <c r="F33" s="69"/>
    </row>
    <row r="34" spans="1:6" ht="15.95" customHeight="1">
      <c r="A34" s="6"/>
      <c r="B34" s="191" t="s">
        <v>859</v>
      </c>
      <c r="C34" s="68"/>
      <c r="D34" s="3"/>
      <c r="E34" s="69"/>
      <c r="F34" s="69"/>
    </row>
    <row r="35" spans="1:6" ht="15.95" customHeight="1">
      <c r="A35" s="104"/>
      <c r="B35" s="192" t="s">
        <v>857</v>
      </c>
      <c r="C35" s="193"/>
      <c r="D35" s="35"/>
      <c r="E35" s="82"/>
      <c r="F35" s="82"/>
    </row>
    <row r="36" spans="1:6" ht="15" customHeight="1">
      <c r="A36" s="271" t="s">
        <v>14</v>
      </c>
      <c r="B36" s="272"/>
      <c r="C36" s="272"/>
      <c r="D36" s="272"/>
      <c r="E36" s="273"/>
      <c r="F36" s="194">
        <f>SUM(F8:F35)</f>
        <v>702300</v>
      </c>
    </row>
    <row r="37" spans="1:6" ht="15" customHeight="1">
      <c r="A37" s="246" t="s">
        <v>15</v>
      </c>
      <c r="B37" s="247"/>
      <c r="C37" s="247"/>
      <c r="D37" s="247"/>
      <c r="E37" s="248"/>
      <c r="F37" s="83">
        <f>+F36*9%</f>
        <v>63207</v>
      </c>
    </row>
    <row r="38" spans="1:6" ht="15" customHeight="1">
      <c r="A38" s="246" t="s">
        <v>16</v>
      </c>
      <c r="B38" s="247"/>
      <c r="C38" s="247"/>
      <c r="D38" s="247"/>
      <c r="E38" s="248"/>
      <c r="F38" s="83">
        <f>+F36*9%</f>
        <v>63207</v>
      </c>
    </row>
    <row r="39" spans="1:6" ht="15" customHeight="1">
      <c r="A39" s="260" t="s">
        <v>17</v>
      </c>
      <c r="B39" s="261"/>
      <c r="C39" s="261"/>
      <c r="D39" s="261"/>
      <c r="E39" s="262"/>
      <c r="F39" s="84">
        <f>SUM(F36:F38)</f>
        <v>828714</v>
      </c>
    </row>
    <row r="40" spans="1:6" ht="31.35" customHeight="1">
      <c r="A40" s="263" t="s">
        <v>860</v>
      </c>
      <c r="B40" s="264"/>
      <c r="C40" s="264"/>
      <c r="D40" s="264"/>
      <c r="E40" s="264"/>
      <c r="F40" s="265"/>
    </row>
    <row r="41" spans="1:6" ht="15" customHeight="1">
      <c r="A41" s="266" t="s">
        <v>18</v>
      </c>
      <c r="B41" s="267"/>
      <c r="C41" s="268" t="s">
        <v>19</v>
      </c>
      <c r="D41" s="269"/>
      <c r="E41" s="269"/>
      <c r="F41" s="270"/>
    </row>
    <row r="42" spans="1:6" ht="15" customHeight="1">
      <c r="A42" s="277" t="s">
        <v>20</v>
      </c>
      <c r="B42" s="278"/>
      <c r="C42" s="279" t="s">
        <v>21</v>
      </c>
      <c r="D42" s="278"/>
      <c r="E42" s="278"/>
      <c r="F42" s="280"/>
    </row>
    <row r="43" spans="1:6" ht="15" customHeight="1">
      <c r="A43" s="279" t="s">
        <v>863</v>
      </c>
      <c r="B43" s="278"/>
      <c r="C43" s="279" t="s">
        <v>23</v>
      </c>
      <c r="D43" s="278"/>
      <c r="E43" s="278"/>
      <c r="F43" s="280"/>
    </row>
    <row r="44" spans="1:6" ht="15" customHeight="1">
      <c r="A44" s="284" t="s">
        <v>24</v>
      </c>
      <c r="B44" s="285"/>
      <c r="C44" s="284" t="s">
        <v>25</v>
      </c>
      <c r="D44" s="285"/>
      <c r="E44" s="285"/>
      <c r="F44" s="286"/>
    </row>
    <row r="45" spans="1:6" ht="27" customHeight="1">
      <c r="A45" s="271" t="s">
        <v>26</v>
      </c>
      <c r="B45" s="272"/>
      <c r="C45" s="272"/>
      <c r="D45" s="272"/>
      <c r="E45" s="272"/>
      <c r="F45" s="273"/>
    </row>
    <row r="46" spans="1:6" ht="26.45" customHeight="1">
      <c r="A46" s="274" t="s">
        <v>27</v>
      </c>
      <c r="B46" s="275"/>
      <c r="C46" s="275"/>
      <c r="D46" s="275"/>
      <c r="E46" s="275"/>
      <c r="F46" s="276"/>
    </row>
  </sheetData>
  <mergeCells count="20">
    <mergeCell ref="A36:E36"/>
    <mergeCell ref="B1:F1"/>
    <mergeCell ref="A2:F2"/>
    <mergeCell ref="C3:F3"/>
    <mergeCell ref="C4:F4"/>
    <mergeCell ref="C5:F5"/>
    <mergeCell ref="A37:E37"/>
    <mergeCell ref="A38:E38"/>
    <mergeCell ref="A39:E39"/>
    <mergeCell ref="A40:F40"/>
    <mergeCell ref="A41:B41"/>
    <mergeCell ref="C41:F41"/>
    <mergeCell ref="A45:F45"/>
    <mergeCell ref="A46:F46"/>
    <mergeCell ref="A42:B42"/>
    <mergeCell ref="C42:F42"/>
    <mergeCell ref="A43:B43"/>
    <mergeCell ref="C43:F43"/>
    <mergeCell ref="A44:B44"/>
    <mergeCell ref="C44:F44"/>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82C1-9489-4F7E-9BBA-066813621509}">
  <dimension ref="A1:L30"/>
  <sheetViews>
    <sheetView topLeftCell="A7" workbookViewId="0">
      <selection activeCell="K10" sqref="K10:K11"/>
    </sheetView>
  </sheetViews>
  <sheetFormatPr defaultRowHeight="15"/>
  <cols>
    <col min="1" max="1" width="5.28515625" customWidth="1"/>
    <col min="2" max="2" width="53.14062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831</v>
      </c>
      <c r="D3" s="255"/>
      <c r="E3" s="255"/>
      <c r="F3" s="256"/>
    </row>
    <row r="4" spans="1:12" ht="29.25" customHeight="1">
      <c r="A4" s="6"/>
      <c r="B4" s="7" t="s">
        <v>8</v>
      </c>
      <c r="C4" s="254" t="s">
        <v>832</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20.45" customHeight="1">
      <c r="A7" s="52"/>
      <c r="B7" s="59"/>
      <c r="C7" s="75"/>
      <c r="D7" s="75"/>
      <c r="E7" s="74"/>
      <c r="F7" s="74"/>
    </row>
    <row r="8" spans="1:12" ht="15" customHeight="1">
      <c r="A8" s="6">
        <v>1</v>
      </c>
      <c r="B8" s="77" t="s">
        <v>824</v>
      </c>
      <c r="C8" s="3">
        <v>1</v>
      </c>
      <c r="D8" s="3" t="s">
        <v>60</v>
      </c>
      <c r="E8" s="69">
        <v>35750</v>
      </c>
      <c r="F8" s="69">
        <f t="shared" ref="F8" si="0">C8*E8</f>
        <v>35750</v>
      </c>
    </row>
    <row r="9" spans="1:12" ht="15" customHeight="1">
      <c r="A9" s="6"/>
      <c r="B9" s="178" t="s">
        <v>647</v>
      </c>
      <c r="C9" s="3"/>
      <c r="D9" s="3"/>
      <c r="E9" s="69"/>
      <c r="F9" s="69"/>
    </row>
    <row r="10" spans="1:12" ht="15" customHeight="1">
      <c r="A10" s="6"/>
      <c r="B10" s="7" t="s">
        <v>829</v>
      </c>
      <c r="C10" s="68"/>
      <c r="D10" s="3"/>
      <c r="E10" s="69"/>
      <c r="F10" s="69"/>
    </row>
    <row r="11" spans="1:12" ht="15" customHeight="1">
      <c r="A11" s="6"/>
      <c r="B11" s="7" t="s">
        <v>825</v>
      </c>
      <c r="C11" s="68"/>
      <c r="D11" s="3"/>
      <c r="E11" s="69"/>
      <c r="F11" s="69"/>
    </row>
    <row r="12" spans="1:12" ht="15" customHeight="1">
      <c r="A12" s="6"/>
      <c r="B12" s="7" t="s">
        <v>826</v>
      </c>
      <c r="C12" s="68"/>
      <c r="D12" s="3"/>
      <c r="E12" s="69"/>
      <c r="F12" s="69"/>
    </row>
    <row r="13" spans="1:12" ht="15" customHeight="1">
      <c r="A13" s="6"/>
      <c r="B13" s="7" t="s">
        <v>827</v>
      </c>
      <c r="C13" s="68"/>
      <c r="D13" s="3"/>
      <c r="E13" s="69"/>
      <c r="F13" s="69"/>
    </row>
    <row r="14" spans="1:12" ht="15" customHeight="1">
      <c r="A14" s="6"/>
      <c r="B14" s="7" t="s">
        <v>828</v>
      </c>
      <c r="C14" s="68"/>
      <c r="D14" s="3"/>
      <c r="E14" s="69"/>
      <c r="F14" s="69"/>
    </row>
    <row r="15" spans="1:12" ht="15" customHeight="1">
      <c r="A15" s="6"/>
      <c r="B15" s="179"/>
      <c r="C15" s="68"/>
      <c r="D15" s="3"/>
      <c r="E15" s="69"/>
      <c r="F15" s="69"/>
    </row>
    <row r="16" spans="1:12" ht="15" customHeight="1">
      <c r="A16" s="6"/>
      <c r="B16" s="7"/>
      <c r="C16" s="68"/>
      <c r="D16" s="3"/>
      <c r="E16" s="69"/>
      <c r="F16" s="69"/>
    </row>
    <row r="17" spans="1:6" ht="15" customHeight="1">
      <c r="A17" s="6"/>
      <c r="B17" s="7"/>
      <c r="C17" s="68"/>
      <c r="D17" s="3"/>
      <c r="E17" s="69"/>
      <c r="F17" s="69"/>
    </row>
    <row r="18" spans="1:6" ht="15" customHeight="1">
      <c r="A18" s="6"/>
      <c r="B18" s="7"/>
      <c r="C18" s="68"/>
      <c r="D18" s="3"/>
      <c r="E18" s="69"/>
      <c r="F18" s="69"/>
    </row>
    <row r="19" spans="1:6" ht="15" customHeight="1">
      <c r="A19" s="104"/>
      <c r="B19" s="166"/>
      <c r="C19" s="80"/>
      <c r="D19" s="80"/>
      <c r="E19" s="106"/>
      <c r="F19" s="82"/>
    </row>
    <row r="20" spans="1:6" ht="15" customHeight="1">
      <c r="A20" s="287" t="s">
        <v>14</v>
      </c>
      <c r="B20" s="288"/>
      <c r="C20" s="288"/>
      <c r="D20" s="288"/>
      <c r="E20" s="289"/>
      <c r="F20" s="173">
        <f>SUM(F8:F19)</f>
        <v>35750</v>
      </c>
    </row>
    <row r="21" spans="1:6" ht="15" customHeight="1">
      <c r="A21" s="246" t="s">
        <v>15</v>
      </c>
      <c r="B21" s="247"/>
      <c r="C21" s="247"/>
      <c r="D21" s="247"/>
      <c r="E21" s="248"/>
      <c r="F21" s="83">
        <f>+F20*9%</f>
        <v>3217.5</v>
      </c>
    </row>
    <row r="22" spans="1:6" ht="15" customHeight="1">
      <c r="A22" s="246" t="s">
        <v>16</v>
      </c>
      <c r="B22" s="247"/>
      <c r="C22" s="247"/>
      <c r="D22" s="247"/>
      <c r="E22" s="248"/>
      <c r="F22" s="83">
        <f>+F20*9%</f>
        <v>3217.5</v>
      </c>
    </row>
    <row r="23" spans="1:6" ht="15" customHeight="1">
      <c r="A23" s="260" t="s">
        <v>17</v>
      </c>
      <c r="B23" s="261"/>
      <c r="C23" s="261"/>
      <c r="D23" s="261"/>
      <c r="E23" s="262"/>
      <c r="F23" s="84">
        <f>SUM(F20:F22)</f>
        <v>42185</v>
      </c>
    </row>
    <row r="24" spans="1:6" ht="31.35" customHeight="1">
      <c r="A24" s="263" t="s">
        <v>830</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1:E21"/>
    <mergeCell ref="A22:E22"/>
    <mergeCell ref="A23:E23"/>
    <mergeCell ref="A24:F24"/>
    <mergeCell ref="A25:B25"/>
    <mergeCell ref="C25:F25"/>
    <mergeCell ref="A20:E20"/>
    <mergeCell ref="B1:F1"/>
    <mergeCell ref="A2:F2"/>
    <mergeCell ref="C3:F3"/>
    <mergeCell ref="C4:F4"/>
    <mergeCell ref="C5:F5"/>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DE38-B6A1-4BA4-A17D-A2F5D79A0E6E}">
  <dimension ref="A1:L30"/>
  <sheetViews>
    <sheetView workbookViewId="0">
      <selection activeCell="I11" sqref="I11"/>
    </sheetView>
  </sheetViews>
  <sheetFormatPr defaultRowHeight="15"/>
  <cols>
    <col min="1" max="1" width="5.28515625" customWidth="1"/>
    <col min="2" max="2" width="53.14062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822</v>
      </c>
      <c r="D3" s="255"/>
      <c r="E3" s="255"/>
      <c r="F3" s="256"/>
    </row>
    <row r="4" spans="1:12" ht="29.25" customHeight="1">
      <c r="A4" s="6"/>
      <c r="B4" s="7" t="s">
        <v>8</v>
      </c>
      <c r="C4" s="254" t="s">
        <v>821</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8.85" customHeight="1">
      <c r="A7" s="52"/>
      <c r="B7" s="59"/>
      <c r="C7" s="75"/>
      <c r="D7" s="75"/>
      <c r="E7" s="74"/>
      <c r="F7" s="74"/>
    </row>
    <row r="8" spans="1:12" ht="15" customHeight="1">
      <c r="A8" s="6"/>
      <c r="B8" s="178" t="s">
        <v>755</v>
      </c>
      <c r="C8" s="3"/>
      <c r="D8" s="3"/>
      <c r="E8" s="69"/>
      <c r="F8" s="69"/>
    </row>
    <row r="9" spans="1:12" ht="15" customHeight="1">
      <c r="A9" s="6"/>
      <c r="B9" s="178"/>
      <c r="C9" s="3"/>
      <c r="D9" s="3"/>
      <c r="E9" s="69"/>
      <c r="F9" s="69"/>
    </row>
    <row r="10" spans="1:12" ht="15" customHeight="1">
      <c r="A10" s="6">
        <v>1</v>
      </c>
      <c r="B10" s="7" t="s">
        <v>819</v>
      </c>
      <c r="C10" s="68">
        <v>5</v>
      </c>
      <c r="D10" s="3" t="s">
        <v>13</v>
      </c>
      <c r="E10" s="69">
        <v>120000</v>
      </c>
      <c r="F10" s="69">
        <f t="shared" ref="F10" si="0">C10*E10</f>
        <v>600000</v>
      </c>
    </row>
    <row r="11" spans="1:12" ht="15" customHeight="1">
      <c r="A11" s="6"/>
      <c r="B11" s="7"/>
      <c r="C11" s="68"/>
      <c r="D11" s="3"/>
      <c r="E11" s="69"/>
      <c r="F11" s="69"/>
    </row>
    <row r="12" spans="1:12" ht="15" customHeight="1">
      <c r="A12" s="6">
        <v>2</v>
      </c>
      <c r="B12" s="7" t="s">
        <v>820</v>
      </c>
      <c r="C12" s="68">
        <v>1</v>
      </c>
      <c r="D12" s="3" t="s">
        <v>13</v>
      </c>
      <c r="E12" s="69">
        <v>60000</v>
      </c>
      <c r="F12" s="69">
        <f t="shared" ref="F12" si="1">C12*E12</f>
        <v>60000</v>
      </c>
    </row>
    <row r="13" spans="1:12" ht="15" customHeight="1">
      <c r="A13" s="6"/>
      <c r="B13" s="7"/>
      <c r="C13" s="68"/>
      <c r="D13" s="3"/>
      <c r="E13" s="69"/>
      <c r="F13" s="69"/>
    </row>
    <row r="14" spans="1:12" ht="15" customHeight="1">
      <c r="A14" s="6"/>
      <c r="B14" s="7"/>
      <c r="C14" s="68"/>
      <c r="D14" s="3"/>
      <c r="E14" s="69"/>
      <c r="F14" s="69"/>
    </row>
    <row r="15" spans="1:12" ht="15" customHeight="1">
      <c r="A15" s="6"/>
      <c r="B15" s="179"/>
      <c r="C15" s="68"/>
      <c r="D15" s="3"/>
      <c r="E15" s="69"/>
      <c r="F15" s="69"/>
    </row>
    <row r="16" spans="1:12" ht="15" customHeight="1">
      <c r="A16" s="6"/>
      <c r="B16" s="7"/>
      <c r="C16" s="68"/>
      <c r="D16" s="3"/>
      <c r="E16" s="69"/>
      <c r="F16" s="69"/>
    </row>
    <row r="17" spans="1:6" ht="15" customHeight="1">
      <c r="A17" s="6"/>
      <c r="B17" s="7"/>
      <c r="C17" s="68"/>
      <c r="D17" s="3"/>
      <c r="E17" s="69"/>
      <c r="F17" s="69"/>
    </row>
    <row r="18" spans="1:6" ht="15" customHeight="1">
      <c r="A18" s="6"/>
      <c r="B18" s="7"/>
      <c r="C18" s="68"/>
      <c r="D18" s="3"/>
      <c r="E18" s="69"/>
      <c r="F18" s="69"/>
    </row>
    <row r="19" spans="1:6" ht="15" customHeight="1">
      <c r="A19" s="104"/>
      <c r="B19" s="166"/>
      <c r="C19" s="80"/>
      <c r="D19" s="80"/>
      <c r="E19" s="106"/>
      <c r="F19" s="82"/>
    </row>
    <row r="20" spans="1:6" ht="15" customHeight="1">
      <c r="A20" s="287" t="s">
        <v>14</v>
      </c>
      <c r="B20" s="288"/>
      <c r="C20" s="288"/>
      <c r="D20" s="288"/>
      <c r="E20" s="289"/>
      <c r="F20" s="173">
        <f>SUM(F8:F19)</f>
        <v>660000</v>
      </c>
    </row>
    <row r="21" spans="1:6" ht="15" customHeight="1">
      <c r="A21" s="246" t="s">
        <v>15</v>
      </c>
      <c r="B21" s="247"/>
      <c r="C21" s="247"/>
      <c r="D21" s="247"/>
      <c r="E21" s="248"/>
      <c r="F21" s="83">
        <f>+F20*9%</f>
        <v>59400</v>
      </c>
    </row>
    <row r="22" spans="1:6" ht="15" customHeight="1">
      <c r="A22" s="246" t="s">
        <v>16</v>
      </c>
      <c r="B22" s="247"/>
      <c r="C22" s="247"/>
      <c r="D22" s="247"/>
      <c r="E22" s="248"/>
      <c r="F22" s="83">
        <f>+F20*9%</f>
        <v>59400</v>
      </c>
    </row>
    <row r="23" spans="1:6" ht="15" customHeight="1">
      <c r="A23" s="260" t="s">
        <v>17</v>
      </c>
      <c r="B23" s="261"/>
      <c r="C23" s="261"/>
      <c r="D23" s="261"/>
      <c r="E23" s="262"/>
      <c r="F23" s="84">
        <f>SUM(F20:F22)</f>
        <v>778800</v>
      </c>
    </row>
    <row r="24" spans="1:6" ht="31.35" customHeight="1">
      <c r="A24" s="263" t="s">
        <v>823</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1:E21"/>
    <mergeCell ref="A22:E22"/>
    <mergeCell ref="A23:E23"/>
    <mergeCell ref="A24:F24"/>
    <mergeCell ref="A25:B25"/>
    <mergeCell ref="C25:F25"/>
    <mergeCell ref="A20:E20"/>
    <mergeCell ref="B1:F1"/>
    <mergeCell ref="A2:F2"/>
    <mergeCell ref="C3:F3"/>
    <mergeCell ref="C4:F4"/>
    <mergeCell ref="C5:F5"/>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57DB5-3DED-4268-90B6-B398E99ED1A5}">
  <dimension ref="A1:L57"/>
  <sheetViews>
    <sheetView topLeftCell="A7" workbookViewId="0">
      <selection activeCell="K22" sqref="K22"/>
    </sheetView>
  </sheetViews>
  <sheetFormatPr defaultRowHeight="15"/>
  <cols>
    <col min="1" max="1" width="5.28515625" customWidth="1"/>
    <col min="2" max="2" width="52.5703125" customWidth="1"/>
    <col min="3" max="3" width="4.7109375" customWidth="1"/>
    <col min="4" max="4" width="5.140625" customWidth="1"/>
    <col min="5" max="5" width="10.140625" customWidth="1"/>
    <col min="6" max="6" width="11.42578125" customWidth="1"/>
  </cols>
  <sheetData>
    <row r="1" spans="1:12" ht="117"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874</v>
      </c>
      <c r="D3" s="255"/>
      <c r="E3" s="255"/>
      <c r="F3" s="256"/>
    </row>
    <row r="4" spans="1:12" ht="29.25" customHeight="1">
      <c r="A4" s="6"/>
      <c r="B4" s="7" t="s">
        <v>8</v>
      </c>
      <c r="C4" s="254" t="s">
        <v>832</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4.25" customHeight="1">
      <c r="A7" s="52"/>
      <c r="B7" s="59"/>
      <c r="C7" s="75"/>
      <c r="D7" s="75"/>
      <c r="E7" s="74"/>
      <c r="F7" s="74"/>
    </row>
    <row r="8" spans="1:12" ht="18" customHeight="1">
      <c r="A8" s="6"/>
      <c r="B8" s="178" t="s">
        <v>814</v>
      </c>
      <c r="C8" s="3"/>
      <c r="D8" s="3"/>
      <c r="E8" s="69"/>
      <c r="F8" s="69"/>
    </row>
    <row r="9" spans="1:12" ht="18" customHeight="1">
      <c r="A9" s="6"/>
      <c r="B9" s="178" t="s">
        <v>815</v>
      </c>
      <c r="C9" s="3"/>
      <c r="D9" s="3"/>
      <c r="E9" s="69"/>
      <c r="F9" s="69"/>
    </row>
    <row r="10" spans="1:12" ht="18" customHeight="1">
      <c r="A10" s="6">
        <v>1</v>
      </c>
      <c r="B10" s="195" t="s">
        <v>811</v>
      </c>
      <c r="C10" s="3">
        <v>250</v>
      </c>
      <c r="D10" s="3" t="s">
        <v>723</v>
      </c>
      <c r="E10" s="69">
        <v>550</v>
      </c>
      <c r="F10" s="69">
        <f>C10*E10</f>
        <v>137500</v>
      </c>
    </row>
    <row r="11" spans="1:12" ht="18" customHeight="1">
      <c r="A11" s="6">
        <v>2</v>
      </c>
      <c r="B11" s="7" t="s">
        <v>133</v>
      </c>
      <c r="C11" s="3">
        <v>250</v>
      </c>
      <c r="D11" s="3" t="s">
        <v>723</v>
      </c>
      <c r="E11" s="69">
        <v>200</v>
      </c>
      <c r="F11" s="69">
        <f>C11*E11</f>
        <v>50000</v>
      </c>
    </row>
    <row r="12" spans="1:12" ht="18" customHeight="1">
      <c r="A12" s="6">
        <v>3</v>
      </c>
      <c r="B12" s="7" t="s">
        <v>877</v>
      </c>
      <c r="C12" s="68">
        <v>110</v>
      </c>
      <c r="D12" s="3" t="s">
        <v>723</v>
      </c>
      <c r="E12" s="69">
        <v>550</v>
      </c>
      <c r="F12" s="69">
        <f t="shared" ref="F12:F22" si="0">C12*E12</f>
        <v>60500</v>
      </c>
    </row>
    <row r="13" spans="1:12" ht="18" customHeight="1">
      <c r="A13" s="6">
        <v>4</v>
      </c>
      <c r="B13" s="7" t="s">
        <v>133</v>
      </c>
      <c r="C13" s="68">
        <v>110</v>
      </c>
      <c r="D13" s="3" t="s">
        <v>723</v>
      </c>
      <c r="E13" s="69">
        <v>200</v>
      </c>
      <c r="F13" s="69">
        <f t="shared" ref="F13" si="1">C13*E13</f>
        <v>22000</v>
      </c>
    </row>
    <row r="14" spans="1:12" ht="18" customHeight="1">
      <c r="A14" s="6">
        <v>5</v>
      </c>
      <c r="B14" s="7" t="s">
        <v>879</v>
      </c>
      <c r="C14" s="68">
        <v>90</v>
      </c>
      <c r="D14" s="3" t="s">
        <v>723</v>
      </c>
      <c r="E14" s="69">
        <v>550</v>
      </c>
      <c r="F14" s="69">
        <f t="shared" si="0"/>
        <v>49500</v>
      </c>
    </row>
    <row r="15" spans="1:12" ht="18" customHeight="1">
      <c r="A15" s="6">
        <v>6</v>
      </c>
      <c r="B15" s="7" t="s">
        <v>133</v>
      </c>
      <c r="C15" s="68">
        <v>90</v>
      </c>
      <c r="D15" s="3" t="s">
        <v>723</v>
      </c>
      <c r="E15" s="69">
        <v>200</v>
      </c>
      <c r="F15" s="69">
        <f t="shared" ref="F15" si="2">C15*E15</f>
        <v>18000</v>
      </c>
    </row>
    <row r="16" spans="1:12" ht="18" customHeight="1">
      <c r="A16" s="6">
        <v>7</v>
      </c>
      <c r="B16" s="196" t="s">
        <v>878</v>
      </c>
      <c r="C16" s="68">
        <v>90</v>
      </c>
      <c r="D16" s="3" t="s">
        <v>723</v>
      </c>
      <c r="E16" s="69">
        <v>550</v>
      </c>
      <c r="F16" s="69">
        <f t="shared" si="0"/>
        <v>49500</v>
      </c>
    </row>
    <row r="17" spans="1:6" ht="18" customHeight="1">
      <c r="A17" s="6">
        <v>8</v>
      </c>
      <c r="B17" s="7" t="s">
        <v>133</v>
      </c>
      <c r="C17" s="68">
        <v>90</v>
      </c>
      <c r="D17" s="3" t="s">
        <v>723</v>
      </c>
      <c r="E17" s="69">
        <v>200</v>
      </c>
      <c r="F17" s="69">
        <f t="shared" ref="F17" si="3">C17*E17</f>
        <v>18000</v>
      </c>
    </row>
    <row r="18" spans="1:6" ht="18" customHeight="1">
      <c r="A18" s="6">
        <v>9</v>
      </c>
      <c r="B18" s="195" t="s">
        <v>812</v>
      </c>
      <c r="C18" s="68">
        <v>70</v>
      </c>
      <c r="D18" s="3" t="s">
        <v>723</v>
      </c>
      <c r="E18" s="69">
        <v>550</v>
      </c>
      <c r="F18" s="69">
        <f t="shared" si="0"/>
        <v>38500</v>
      </c>
    </row>
    <row r="19" spans="1:6" ht="18" customHeight="1">
      <c r="A19" s="6">
        <v>10</v>
      </c>
      <c r="B19" s="7" t="s">
        <v>133</v>
      </c>
      <c r="C19" s="68">
        <v>70</v>
      </c>
      <c r="D19" s="3" t="s">
        <v>723</v>
      </c>
      <c r="E19" s="69">
        <v>200</v>
      </c>
      <c r="F19" s="69">
        <f t="shared" ref="F19" si="4">C19*E19</f>
        <v>14000</v>
      </c>
    </row>
    <row r="20" spans="1:6" ht="32.65" customHeight="1">
      <c r="A20" s="6">
        <v>11</v>
      </c>
      <c r="B20" s="7" t="s">
        <v>880</v>
      </c>
      <c r="C20" s="68">
        <v>145</v>
      </c>
      <c r="D20" s="3" t="s">
        <v>723</v>
      </c>
      <c r="E20" s="69">
        <v>550</v>
      </c>
      <c r="F20" s="69">
        <f t="shared" si="0"/>
        <v>79750</v>
      </c>
    </row>
    <row r="21" spans="1:6" ht="21.75" customHeight="1">
      <c r="A21" s="6">
        <v>12</v>
      </c>
      <c r="B21" s="7" t="s">
        <v>133</v>
      </c>
      <c r="C21" s="68">
        <v>145</v>
      </c>
      <c r="D21" s="3" t="s">
        <v>723</v>
      </c>
      <c r="E21" s="69">
        <v>200</v>
      </c>
      <c r="F21" s="69">
        <f t="shared" ref="F21" si="5">C21*E21</f>
        <v>29000</v>
      </c>
    </row>
    <row r="22" spans="1:6" ht="32.65" customHeight="1">
      <c r="A22" s="6">
        <v>13</v>
      </c>
      <c r="B22" s="7" t="s">
        <v>881</v>
      </c>
      <c r="C22" s="68">
        <v>220</v>
      </c>
      <c r="D22" s="3" t="s">
        <v>723</v>
      </c>
      <c r="E22" s="69">
        <v>1270</v>
      </c>
      <c r="F22" s="69">
        <f t="shared" si="0"/>
        <v>279400</v>
      </c>
    </row>
    <row r="23" spans="1:6" ht="21.2" customHeight="1">
      <c r="A23" s="6">
        <v>14</v>
      </c>
      <c r="B23" s="7" t="s">
        <v>133</v>
      </c>
      <c r="C23" s="68">
        <v>220</v>
      </c>
      <c r="D23" s="3" t="s">
        <v>723</v>
      </c>
      <c r="E23" s="69">
        <v>200</v>
      </c>
      <c r="F23" s="69">
        <f t="shared" ref="F23" si="6">C23*E23</f>
        <v>44000</v>
      </c>
    </row>
    <row r="24" spans="1:6" ht="17.649999999999999" customHeight="1">
      <c r="A24" s="6">
        <v>15</v>
      </c>
      <c r="B24" s="7" t="s">
        <v>739</v>
      </c>
      <c r="C24" s="68">
        <v>60</v>
      </c>
      <c r="D24" s="3" t="s">
        <v>13</v>
      </c>
      <c r="E24" s="69">
        <v>280</v>
      </c>
      <c r="F24" s="69">
        <f t="shared" ref="F24:F44" si="7">C24*E24</f>
        <v>16800</v>
      </c>
    </row>
    <row r="25" spans="1:6" ht="18.399999999999999" customHeight="1">
      <c r="A25" s="6">
        <v>16</v>
      </c>
      <c r="B25" s="7" t="s">
        <v>741</v>
      </c>
      <c r="C25" s="68">
        <v>25</v>
      </c>
      <c r="D25" s="3" t="s">
        <v>13</v>
      </c>
      <c r="E25" s="69">
        <v>1305</v>
      </c>
      <c r="F25" s="69">
        <f t="shared" si="7"/>
        <v>32625</v>
      </c>
    </row>
    <row r="26" spans="1:6" ht="19.7" customHeight="1">
      <c r="A26" s="6">
        <v>17</v>
      </c>
      <c r="B26" s="7" t="s">
        <v>816</v>
      </c>
      <c r="C26" s="68">
        <v>30</v>
      </c>
      <c r="D26" s="3" t="s">
        <v>13</v>
      </c>
      <c r="E26" s="69">
        <v>355</v>
      </c>
      <c r="F26" s="69">
        <f t="shared" si="7"/>
        <v>10650</v>
      </c>
    </row>
    <row r="27" spans="1:6" ht="19.7" customHeight="1">
      <c r="A27" s="6">
        <v>18</v>
      </c>
      <c r="B27" s="7" t="s">
        <v>817</v>
      </c>
      <c r="C27" s="68">
        <v>30</v>
      </c>
      <c r="D27" s="3" t="s">
        <v>13</v>
      </c>
      <c r="E27" s="69">
        <v>150</v>
      </c>
      <c r="F27" s="69">
        <f t="shared" si="7"/>
        <v>4500</v>
      </c>
    </row>
    <row r="28" spans="1:6" ht="17.649999999999999" customHeight="1">
      <c r="A28" s="6">
        <v>19</v>
      </c>
      <c r="B28" s="7" t="s">
        <v>742</v>
      </c>
      <c r="C28" s="68">
        <v>180</v>
      </c>
      <c r="D28" s="3" t="s">
        <v>13</v>
      </c>
      <c r="E28" s="69">
        <v>170</v>
      </c>
      <c r="F28" s="69">
        <f t="shared" si="7"/>
        <v>30600</v>
      </c>
    </row>
    <row r="29" spans="1:6" ht="18.399999999999999" customHeight="1">
      <c r="A29" s="104">
        <v>20</v>
      </c>
      <c r="B29" s="192" t="s">
        <v>743</v>
      </c>
      <c r="C29" s="193">
        <v>35</v>
      </c>
      <c r="D29" s="35" t="s">
        <v>13</v>
      </c>
      <c r="E29" s="82">
        <v>450</v>
      </c>
      <c r="F29" s="82">
        <f t="shared" si="7"/>
        <v>15750</v>
      </c>
    </row>
    <row r="30" spans="1:6" ht="19.7" customHeight="1">
      <c r="A30" s="197"/>
      <c r="B30" s="198" t="s">
        <v>746</v>
      </c>
      <c r="C30" s="199"/>
      <c r="D30" s="40"/>
      <c r="E30" s="200"/>
      <c r="F30" s="200"/>
    </row>
    <row r="31" spans="1:6" ht="16.350000000000001" customHeight="1">
      <c r="A31" s="6">
        <v>21</v>
      </c>
      <c r="B31" s="7" t="s">
        <v>744</v>
      </c>
      <c r="C31" s="68">
        <v>30</v>
      </c>
      <c r="D31" s="3" t="s">
        <v>13</v>
      </c>
      <c r="E31" s="69">
        <v>700</v>
      </c>
      <c r="F31" s="69">
        <f t="shared" si="7"/>
        <v>21000</v>
      </c>
    </row>
    <row r="32" spans="1:6" ht="16.350000000000001" customHeight="1">
      <c r="A32" s="6">
        <v>22</v>
      </c>
      <c r="B32" s="7" t="s">
        <v>745</v>
      </c>
      <c r="C32" s="68">
        <v>15</v>
      </c>
      <c r="D32" s="3" t="s">
        <v>13</v>
      </c>
      <c r="E32" s="69">
        <v>425</v>
      </c>
      <c r="F32" s="69">
        <f t="shared" si="7"/>
        <v>6375</v>
      </c>
    </row>
    <row r="33" spans="1:6" ht="16.350000000000001" customHeight="1">
      <c r="A33" s="6">
        <v>23</v>
      </c>
      <c r="B33" s="7" t="s">
        <v>747</v>
      </c>
      <c r="C33" s="68">
        <v>8</v>
      </c>
      <c r="D33" s="3" t="s">
        <v>13</v>
      </c>
      <c r="E33" s="69">
        <v>9100</v>
      </c>
      <c r="F33" s="69">
        <f t="shared" si="7"/>
        <v>72800</v>
      </c>
    </row>
    <row r="34" spans="1:6" ht="16.350000000000001" customHeight="1">
      <c r="A34" s="6">
        <v>24</v>
      </c>
      <c r="B34" s="7" t="s">
        <v>818</v>
      </c>
      <c r="C34" s="68">
        <v>12</v>
      </c>
      <c r="D34" s="3" t="s">
        <v>60</v>
      </c>
      <c r="E34" s="69">
        <v>2500</v>
      </c>
      <c r="F34" s="69">
        <f t="shared" ref="F34" si="8">C34*E34</f>
        <v>30000</v>
      </c>
    </row>
    <row r="35" spans="1:6" ht="16.350000000000001" customHeight="1">
      <c r="A35" s="6"/>
      <c r="B35" s="180" t="s">
        <v>749</v>
      </c>
      <c r="C35" s="68"/>
      <c r="D35" s="3"/>
      <c r="E35" s="69"/>
      <c r="F35" s="69"/>
    </row>
    <row r="36" spans="1:6" ht="16.350000000000001" customHeight="1">
      <c r="A36" s="6">
        <v>25</v>
      </c>
      <c r="B36" s="7" t="s">
        <v>813</v>
      </c>
      <c r="C36" s="68">
        <v>340</v>
      </c>
      <c r="D36" s="3" t="s">
        <v>13</v>
      </c>
      <c r="E36" s="69">
        <v>1150</v>
      </c>
      <c r="F36" s="69">
        <f t="shared" si="7"/>
        <v>391000</v>
      </c>
    </row>
    <row r="37" spans="1:6" ht="16.350000000000001" customHeight="1">
      <c r="A37" s="6">
        <v>26</v>
      </c>
      <c r="B37" s="7" t="s">
        <v>133</v>
      </c>
      <c r="C37" s="68">
        <v>340</v>
      </c>
      <c r="D37" s="3" t="s">
        <v>13</v>
      </c>
      <c r="E37" s="69">
        <v>350</v>
      </c>
      <c r="F37" s="69">
        <f t="shared" ref="F37" si="9">C37*E37</f>
        <v>119000</v>
      </c>
    </row>
    <row r="38" spans="1:6" ht="16.350000000000001" customHeight="1">
      <c r="A38" s="6"/>
      <c r="B38" s="180" t="s">
        <v>750</v>
      </c>
      <c r="C38" s="68"/>
      <c r="D38" s="3"/>
      <c r="E38" s="69"/>
      <c r="F38" s="69"/>
    </row>
    <row r="39" spans="1:6" ht="16.350000000000001" customHeight="1">
      <c r="A39" s="6">
        <v>27</v>
      </c>
      <c r="B39" s="7" t="s">
        <v>751</v>
      </c>
      <c r="C39" s="68">
        <v>350</v>
      </c>
      <c r="D39" s="3" t="s">
        <v>723</v>
      </c>
      <c r="E39" s="69">
        <v>300</v>
      </c>
      <c r="F39" s="69">
        <f t="shared" si="7"/>
        <v>105000</v>
      </c>
    </row>
    <row r="40" spans="1:6" ht="16.350000000000001" customHeight="1">
      <c r="A40" s="6">
        <v>28</v>
      </c>
      <c r="B40" s="7" t="s">
        <v>752</v>
      </c>
      <c r="C40" s="68">
        <v>50</v>
      </c>
      <c r="D40" s="3" t="s">
        <v>723</v>
      </c>
      <c r="E40" s="69">
        <v>350</v>
      </c>
      <c r="F40" s="69">
        <f t="shared" si="7"/>
        <v>17500</v>
      </c>
    </row>
    <row r="41" spans="1:6" ht="19.149999999999999" customHeight="1">
      <c r="A41" s="6">
        <v>29</v>
      </c>
      <c r="B41" s="7" t="s">
        <v>753</v>
      </c>
      <c r="C41" s="68">
        <v>80</v>
      </c>
      <c r="D41" s="3" t="s">
        <v>723</v>
      </c>
      <c r="E41" s="69">
        <v>500</v>
      </c>
      <c r="F41" s="69">
        <f t="shared" si="7"/>
        <v>40000</v>
      </c>
    </row>
    <row r="42" spans="1:6" ht="19.149999999999999" customHeight="1">
      <c r="A42" s="6">
        <v>30</v>
      </c>
      <c r="B42" s="7" t="s">
        <v>754</v>
      </c>
      <c r="C42" s="68">
        <v>1000</v>
      </c>
      <c r="D42" s="3" t="s">
        <v>13</v>
      </c>
      <c r="E42" s="69">
        <v>50</v>
      </c>
      <c r="F42" s="69">
        <f t="shared" ref="F42:F43" si="10">C42*E42</f>
        <v>50000</v>
      </c>
    </row>
    <row r="43" spans="1:6" ht="17.100000000000001" customHeight="1">
      <c r="A43" s="6">
        <v>31</v>
      </c>
      <c r="B43" s="7" t="s">
        <v>873</v>
      </c>
      <c r="C43" s="68">
        <v>1</v>
      </c>
      <c r="D43" s="3" t="s">
        <v>60</v>
      </c>
      <c r="E43" s="69">
        <v>15000</v>
      </c>
      <c r="F43" s="69">
        <f t="shared" si="10"/>
        <v>15000</v>
      </c>
    </row>
    <row r="44" spans="1:6" ht="19.149999999999999" customHeight="1">
      <c r="A44" s="6">
        <v>32</v>
      </c>
      <c r="B44" s="7" t="s">
        <v>133</v>
      </c>
      <c r="C44" s="68">
        <v>480</v>
      </c>
      <c r="D44" s="3" t="s">
        <v>723</v>
      </c>
      <c r="E44" s="69">
        <v>350</v>
      </c>
      <c r="F44" s="69">
        <f t="shared" si="7"/>
        <v>168000</v>
      </c>
    </row>
    <row r="45" spans="1:6" ht="17.100000000000001" customHeight="1">
      <c r="A45" s="6">
        <v>33</v>
      </c>
      <c r="B45" s="7" t="s">
        <v>740</v>
      </c>
      <c r="C45" s="68">
        <v>1</v>
      </c>
      <c r="D45" s="3" t="s">
        <v>60</v>
      </c>
      <c r="E45" s="69">
        <v>45000</v>
      </c>
      <c r="F45" s="69">
        <f t="shared" ref="F45" si="11">C45*E45</f>
        <v>45000</v>
      </c>
    </row>
    <row r="46" spans="1:6" ht="15.95" customHeight="1">
      <c r="A46" s="104"/>
      <c r="B46" s="166"/>
      <c r="C46" s="80"/>
      <c r="D46" s="80"/>
      <c r="E46" s="106"/>
      <c r="F46" s="82"/>
    </row>
    <row r="47" spans="1:6" ht="15.75">
      <c r="A47" s="287" t="s">
        <v>14</v>
      </c>
      <c r="B47" s="288"/>
      <c r="C47" s="288"/>
      <c r="D47" s="288"/>
      <c r="E47" s="289"/>
      <c r="F47" s="173">
        <f>SUM(F8:F46)</f>
        <v>2081250</v>
      </c>
    </row>
    <row r="48" spans="1:6" ht="15.75">
      <c r="A48" s="246" t="s">
        <v>15</v>
      </c>
      <c r="B48" s="247"/>
      <c r="C48" s="247"/>
      <c r="D48" s="247"/>
      <c r="E48" s="248"/>
      <c r="F48" s="83">
        <f>+F47*9%</f>
        <v>187312.5</v>
      </c>
    </row>
    <row r="49" spans="1:6" ht="15.75">
      <c r="A49" s="246" t="s">
        <v>16</v>
      </c>
      <c r="B49" s="247"/>
      <c r="C49" s="247"/>
      <c r="D49" s="247"/>
      <c r="E49" s="248"/>
      <c r="F49" s="83">
        <f>+F47*9%</f>
        <v>187312.5</v>
      </c>
    </row>
    <row r="50" spans="1:6" ht="17.45" customHeight="1">
      <c r="A50" s="260" t="s">
        <v>17</v>
      </c>
      <c r="B50" s="261"/>
      <c r="C50" s="261"/>
      <c r="D50" s="261"/>
      <c r="E50" s="262"/>
      <c r="F50" s="84">
        <f>SUM(F47:F49)</f>
        <v>2455875</v>
      </c>
    </row>
    <row r="51" spans="1:6" ht="33" customHeight="1">
      <c r="A51" s="263" t="s">
        <v>875</v>
      </c>
      <c r="B51" s="264"/>
      <c r="C51" s="264"/>
      <c r="D51" s="264"/>
      <c r="E51" s="264"/>
      <c r="F51" s="265"/>
    </row>
    <row r="52" spans="1:6" ht="15" customHeight="1">
      <c r="A52" s="266" t="s">
        <v>18</v>
      </c>
      <c r="B52" s="267"/>
      <c r="C52" s="268" t="s">
        <v>19</v>
      </c>
      <c r="D52" s="269"/>
      <c r="E52" s="269"/>
      <c r="F52" s="270"/>
    </row>
    <row r="53" spans="1:6" ht="15" customHeight="1">
      <c r="A53" s="277" t="s">
        <v>20</v>
      </c>
      <c r="B53" s="278"/>
      <c r="C53" s="279" t="s">
        <v>21</v>
      </c>
      <c r="D53" s="278"/>
      <c r="E53" s="278"/>
      <c r="F53" s="280"/>
    </row>
    <row r="54" spans="1:6" ht="15" customHeight="1">
      <c r="A54" s="279" t="s">
        <v>876</v>
      </c>
      <c r="B54" s="278"/>
      <c r="C54" s="279" t="s">
        <v>23</v>
      </c>
      <c r="D54" s="278"/>
      <c r="E54" s="278"/>
      <c r="F54" s="280"/>
    </row>
    <row r="55" spans="1:6" ht="15" customHeight="1">
      <c r="A55" s="284"/>
      <c r="B55" s="285"/>
      <c r="C55" s="284" t="s">
        <v>25</v>
      </c>
      <c r="D55" s="285"/>
      <c r="E55" s="285"/>
      <c r="F55" s="286"/>
    </row>
    <row r="56" spans="1:6" ht="27" customHeight="1">
      <c r="A56" s="271" t="s">
        <v>26</v>
      </c>
      <c r="B56" s="272"/>
      <c r="C56" s="272"/>
      <c r="D56" s="272"/>
      <c r="E56" s="272"/>
      <c r="F56" s="273"/>
    </row>
    <row r="57" spans="1:6" ht="26.45" customHeight="1">
      <c r="A57" s="274" t="s">
        <v>27</v>
      </c>
      <c r="B57" s="275"/>
      <c r="C57" s="275"/>
      <c r="D57" s="275"/>
      <c r="E57" s="275"/>
      <c r="F57" s="276"/>
    </row>
  </sheetData>
  <mergeCells count="20">
    <mergeCell ref="A47:E47"/>
    <mergeCell ref="B1:F1"/>
    <mergeCell ref="A2:F2"/>
    <mergeCell ref="C3:F3"/>
    <mergeCell ref="C4:F4"/>
    <mergeCell ref="C5:F5"/>
    <mergeCell ref="A48:E48"/>
    <mergeCell ref="A49:E49"/>
    <mergeCell ref="A50:E50"/>
    <mergeCell ref="A51:F51"/>
    <mergeCell ref="A52:B52"/>
    <mergeCell ref="C52:F52"/>
    <mergeCell ref="A56:F56"/>
    <mergeCell ref="A57:F57"/>
    <mergeCell ref="A53:B53"/>
    <mergeCell ref="C53:F53"/>
    <mergeCell ref="A54:B54"/>
    <mergeCell ref="C54:F54"/>
    <mergeCell ref="A55:B55"/>
    <mergeCell ref="C55:F55"/>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EDDE-82EB-4704-92EC-15E4CE7821D0}">
  <dimension ref="A1:L28"/>
  <sheetViews>
    <sheetView workbookViewId="0">
      <selection activeCell="I10" sqref="I10"/>
    </sheetView>
  </sheetViews>
  <sheetFormatPr defaultRowHeight="15"/>
  <cols>
    <col min="1" max="1" width="5.28515625" customWidth="1"/>
    <col min="2" max="2" width="52.8554687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807</v>
      </c>
      <c r="C3" s="254" t="s">
        <v>805</v>
      </c>
      <c r="D3" s="255"/>
      <c r="E3" s="255"/>
      <c r="F3" s="256"/>
    </row>
    <row r="4" spans="1:12" ht="29.25" customHeight="1">
      <c r="A4" s="6"/>
      <c r="B4" s="7" t="s">
        <v>808</v>
      </c>
      <c r="C4" s="254" t="s">
        <v>764</v>
      </c>
      <c r="D4" s="255"/>
      <c r="E4" s="255"/>
      <c r="F4" s="256"/>
    </row>
    <row r="5" spans="1:12" ht="16.5" customHeight="1">
      <c r="A5" s="8"/>
      <c r="B5" s="2" t="s">
        <v>809</v>
      </c>
      <c r="C5" s="257" t="s">
        <v>9</v>
      </c>
      <c r="D5" s="258"/>
      <c r="E5" s="258"/>
      <c r="F5" s="259"/>
    </row>
    <row r="6" spans="1:12" ht="16.5">
      <c r="A6" s="9" t="s">
        <v>3</v>
      </c>
      <c r="B6" s="9" t="s">
        <v>4</v>
      </c>
      <c r="C6" s="9" t="s">
        <v>5</v>
      </c>
      <c r="D6" s="9" t="s">
        <v>10</v>
      </c>
      <c r="E6" s="9" t="s">
        <v>11</v>
      </c>
      <c r="F6" s="9" t="s">
        <v>12</v>
      </c>
      <c r="L6" s="177"/>
    </row>
    <row r="7" spans="1:12" ht="27.2" customHeight="1">
      <c r="A7" s="52"/>
      <c r="B7" s="59"/>
      <c r="C7" s="75"/>
      <c r="D7" s="75"/>
      <c r="E7" s="74"/>
      <c r="F7" s="74"/>
    </row>
    <row r="8" spans="1:12" ht="35.450000000000003" customHeight="1">
      <c r="A8" s="6">
        <v>1</v>
      </c>
      <c r="B8" s="189" t="s">
        <v>810</v>
      </c>
      <c r="C8" s="3">
        <v>1</v>
      </c>
      <c r="D8" s="3" t="s">
        <v>13</v>
      </c>
      <c r="E8" s="69">
        <v>13750</v>
      </c>
      <c r="F8" s="69">
        <f t="shared" ref="F8" si="0">C8*E8</f>
        <v>13750</v>
      </c>
    </row>
    <row r="9" spans="1:12" ht="15.95" customHeight="1">
      <c r="A9" s="6"/>
      <c r="B9" s="116"/>
      <c r="C9" s="68"/>
      <c r="D9" s="3"/>
      <c r="E9" s="69"/>
      <c r="F9" s="69"/>
    </row>
    <row r="10" spans="1:12" ht="15.95" customHeight="1">
      <c r="A10" s="6"/>
      <c r="B10" s="116"/>
      <c r="C10" s="68"/>
      <c r="D10" s="3"/>
      <c r="E10" s="69"/>
      <c r="F10" s="69"/>
    </row>
    <row r="11" spans="1:12" ht="15.6" customHeight="1">
      <c r="A11" s="6"/>
      <c r="B11" s="116"/>
      <c r="C11" s="68"/>
      <c r="D11" s="3"/>
      <c r="E11" s="69"/>
      <c r="F11" s="69"/>
    </row>
    <row r="12" spans="1:12" ht="15.95" customHeight="1">
      <c r="A12" s="6"/>
      <c r="B12" s="116"/>
      <c r="C12" s="68"/>
      <c r="D12" s="3"/>
      <c r="E12" s="69"/>
      <c r="F12" s="69"/>
    </row>
    <row r="13" spans="1:12" ht="15.95" customHeight="1">
      <c r="A13" s="6"/>
      <c r="B13" s="116"/>
      <c r="C13" s="68"/>
      <c r="D13" s="3"/>
      <c r="E13" s="69"/>
      <c r="F13" s="69"/>
    </row>
    <row r="14" spans="1:12" ht="15.95" customHeight="1">
      <c r="A14" s="6"/>
      <c r="B14" s="179"/>
      <c r="C14" s="68"/>
      <c r="D14" s="3"/>
      <c r="E14" s="69"/>
      <c r="F14" s="69"/>
    </row>
    <row r="15" spans="1:12" ht="15.95" customHeight="1">
      <c r="A15" s="6"/>
      <c r="B15" s="7"/>
      <c r="C15" s="68"/>
      <c r="D15" s="3"/>
      <c r="E15" s="69"/>
      <c r="F15" s="69"/>
    </row>
    <row r="16" spans="1:12" ht="15.95" customHeight="1">
      <c r="A16" s="6"/>
      <c r="B16" s="7"/>
      <c r="C16" s="68"/>
      <c r="D16" s="3"/>
      <c r="E16" s="69"/>
      <c r="F16" s="69"/>
    </row>
    <row r="17" spans="1:6" ht="15.95" customHeight="1">
      <c r="A17" s="104"/>
      <c r="B17" s="166"/>
      <c r="C17" s="80"/>
      <c r="D17" s="80"/>
      <c r="E17" s="106"/>
      <c r="F17" s="82"/>
    </row>
    <row r="18" spans="1:6" ht="15" customHeight="1">
      <c r="A18" s="287" t="s">
        <v>14</v>
      </c>
      <c r="B18" s="288"/>
      <c r="C18" s="288"/>
      <c r="D18" s="288"/>
      <c r="E18" s="289"/>
      <c r="F18" s="173">
        <f>SUM(F8:F17)</f>
        <v>13750</v>
      </c>
    </row>
    <row r="19" spans="1:6" ht="15" customHeight="1">
      <c r="A19" s="246" t="s">
        <v>15</v>
      </c>
      <c r="B19" s="247"/>
      <c r="C19" s="247"/>
      <c r="D19" s="247"/>
      <c r="E19" s="248"/>
      <c r="F19" s="83">
        <f>+F18*9%</f>
        <v>1237.5</v>
      </c>
    </row>
    <row r="20" spans="1:6" ht="15" customHeight="1">
      <c r="A20" s="246" t="s">
        <v>16</v>
      </c>
      <c r="B20" s="247"/>
      <c r="C20" s="247"/>
      <c r="D20" s="247"/>
      <c r="E20" s="248"/>
      <c r="F20" s="83">
        <f>+F18*9%</f>
        <v>1237.5</v>
      </c>
    </row>
    <row r="21" spans="1:6" ht="15" customHeight="1">
      <c r="A21" s="260" t="s">
        <v>17</v>
      </c>
      <c r="B21" s="261"/>
      <c r="C21" s="261"/>
      <c r="D21" s="261"/>
      <c r="E21" s="262"/>
      <c r="F21" s="84">
        <f>SUM(F18:F20)</f>
        <v>16225</v>
      </c>
    </row>
    <row r="22" spans="1:6" ht="31.35" customHeight="1">
      <c r="A22" s="263" t="s">
        <v>806</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18:E18"/>
    <mergeCell ref="B1:F1"/>
    <mergeCell ref="A2:F2"/>
    <mergeCell ref="C3:F3"/>
    <mergeCell ref="C4:F4"/>
    <mergeCell ref="C5:F5"/>
    <mergeCell ref="A19:E19"/>
    <mergeCell ref="A20:E20"/>
    <mergeCell ref="A21:E21"/>
    <mergeCell ref="A22:F22"/>
    <mergeCell ref="A23:B23"/>
    <mergeCell ref="C23:F23"/>
    <mergeCell ref="A27:F27"/>
    <mergeCell ref="A28:F28"/>
    <mergeCell ref="A24:B24"/>
    <mergeCell ref="C24:F24"/>
    <mergeCell ref="A25:B25"/>
    <mergeCell ref="C25:F25"/>
    <mergeCell ref="A26:B26"/>
    <mergeCell ref="C26:F26"/>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D2B2-9030-43E6-9BE1-C7F846A9542F}">
  <dimension ref="A1:L28"/>
  <sheetViews>
    <sheetView workbookViewId="0">
      <selection activeCell="J7" sqref="J7"/>
    </sheetView>
  </sheetViews>
  <sheetFormatPr defaultRowHeight="15"/>
  <cols>
    <col min="1" max="1" width="5.28515625" customWidth="1"/>
    <col min="2" max="2" width="52.8554687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802</v>
      </c>
      <c r="D3" s="255"/>
      <c r="E3" s="255"/>
      <c r="F3" s="256"/>
    </row>
    <row r="4" spans="1:12" ht="29.25" customHeight="1">
      <c r="A4" s="6"/>
      <c r="B4" s="7" t="s">
        <v>8</v>
      </c>
      <c r="C4" s="254" t="s">
        <v>764</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5" customHeight="1">
      <c r="A7" s="52"/>
      <c r="B7" s="59"/>
      <c r="C7" s="75"/>
      <c r="D7" s="75"/>
      <c r="E7" s="74"/>
      <c r="F7" s="74"/>
    </row>
    <row r="8" spans="1:12" ht="29.85" customHeight="1">
      <c r="A8" s="6">
        <v>1</v>
      </c>
      <c r="B8" s="103" t="s">
        <v>791</v>
      </c>
      <c r="C8" s="3">
        <v>6</v>
      </c>
      <c r="D8" s="3" t="s">
        <v>13</v>
      </c>
      <c r="E8" s="69">
        <v>2500</v>
      </c>
      <c r="F8" s="69">
        <f t="shared" ref="F8:F13" si="0">C8*E8</f>
        <v>15000</v>
      </c>
    </row>
    <row r="9" spans="1:12" ht="15.95" customHeight="1">
      <c r="A9" s="6">
        <v>2</v>
      </c>
      <c r="B9" s="116" t="s">
        <v>787</v>
      </c>
      <c r="C9" s="68">
        <v>6</v>
      </c>
      <c r="D9" s="3" t="s">
        <v>13</v>
      </c>
      <c r="E9" s="69">
        <v>650</v>
      </c>
      <c r="F9" s="69">
        <f t="shared" si="0"/>
        <v>3900</v>
      </c>
    </row>
    <row r="10" spans="1:12" ht="15.95" customHeight="1">
      <c r="A10" s="6">
        <v>3</v>
      </c>
      <c r="B10" s="116" t="s">
        <v>788</v>
      </c>
      <c r="C10" s="68">
        <v>1</v>
      </c>
      <c r="D10" s="3" t="s">
        <v>60</v>
      </c>
      <c r="E10" s="69">
        <v>3000</v>
      </c>
      <c r="F10" s="69">
        <f t="shared" si="0"/>
        <v>3000</v>
      </c>
    </row>
    <row r="11" spans="1:12" ht="15.6" customHeight="1">
      <c r="A11" s="6">
        <v>4</v>
      </c>
      <c r="B11" s="116" t="s">
        <v>804</v>
      </c>
      <c r="C11" s="68">
        <v>6</v>
      </c>
      <c r="D11" s="3" t="s">
        <v>13</v>
      </c>
      <c r="E11" s="69">
        <v>2250</v>
      </c>
      <c r="F11" s="69">
        <f t="shared" si="0"/>
        <v>13500</v>
      </c>
    </row>
    <row r="12" spans="1:12" ht="15.95" customHeight="1">
      <c r="A12" s="6">
        <v>5</v>
      </c>
      <c r="B12" s="116" t="s">
        <v>789</v>
      </c>
      <c r="C12" s="68">
        <v>1</v>
      </c>
      <c r="D12" s="3" t="s">
        <v>60</v>
      </c>
      <c r="E12" s="69">
        <v>3000</v>
      </c>
      <c r="F12" s="69">
        <f t="shared" si="0"/>
        <v>3000</v>
      </c>
    </row>
    <row r="13" spans="1:12" ht="15.95" customHeight="1">
      <c r="A13" s="6">
        <v>6</v>
      </c>
      <c r="B13" s="116" t="s">
        <v>790</v>
      </c>
      <c r="C13" s="68">
        <v>1</v>
      </c>
      <c r="D13" s="3" t="s">
        <v>60</v>
      </c>
      <c r="E13" s="69">
        <v>10000</v>
      </c>
      <c r="F13" s="69">
        <f t="shared" si="0"/>
        <v>10000</v>
      </c>
    </row>
    <row r="14" spans="1:12" ht="15.95" customHeight="1">
      <c r="A14" s="6"/>
      <c r="B14" s="179"/>
      <c r="C14" s="68"/>
      <c r="D14" s="3"/>
      <c r="E14" s="69"/>
      <c r="F14" s="69"/>
    </row>
    <row r="15" spans="1:12" ht="15.95" customHeight="1">
      <c r="A15" s="6"/>
      <c r="B15" s="7"/>
      <c r="C15" s="68"/>
      <c r="D15" s="3"/>
      <c r="E15" s="69"/>
      <c r="F15" s="69"/>
    </row>
    <row r="16" spans="1:12" ht="15.95" customHeight="1">
      <c r="A16" s="6"/>
      <c r="B16" s="7"/>
      <c r="C16" s="68"/>
      <c r="D16" s="3"/>
      <c r="E16" s="69"/>
      <c r="F16" s="69"/>
    </row>
    <row r="17" spans="1:6" ht="15.95" customHeight="1">
      <c r="A17" s="104"/>
      <c r="B17" s="166"/>
      <c r="C17" s="80"/>
      <c r="D17" s="80"/>
      <c r="E17" s="106"/>
      <c r="F17" s="82"/>
    </row>
    <row r="18" spans="1:6" ht="15" customHeight="1">
      <c r="A18" s="287" t="s">
        <v>14</v>
      </c>
      <c r="B18" s="288"/>
      <c r="C18" s="288"/>
      <c r="D18" s="288"/>
      <c r="E18" s="289"/>
      <c r="F18" s="173">
        <f>SUM(F8:F17)</f>
        <v>48400</v>
      </c>
    </row>
    <row r="19" spans="1:6" ht="15" customHeight="1">
      <c r="A19" s="246" t="s">
        <v>15</v>
      </c>
      <c r="B19" s="247"/>
      <c r="C19" s="247"/>
      <c r="D19" s="247"/>
      <c r="E19" s="248"/>
      <c r="F19" s="83">
        <f>+F18*9%</f>
        <v>4356</v>
      </c>
    </row>
    <row r="20" spans="1:6" ht="15" customHeight="1">
      <c r="A20" s="246" t="s">
        <v>16</v>
      </c>
      <c r="B20" s="247"/>
      <c r="C20" s="247"/>
      <c r="D20" s="247"/>
      <c r="E20" s="248"/>
      <c r="F20" s="83">
        <f>+F18*9%</f>
        <v>4356</v>
      </c>
    </row>
    <row r="21" spans="1:6" ht="15" customHeight="1">
      <c r="A21" s="260" t="s">
        <v>17</v>
      </c>
      <c r="B21" s="261"/>
      <c r="C21" s="261"/>
      <c r="D21" s="261"/>
      <c r="E21" s="262"/>
      <c r="F21" s="84">
        <f>SUM(F18:F20)</f>
        <v>57112</v>
      </c>
    </row>
    <row r="22" spans="1:6" ht="31.35" customHeight="1">
      <c r="A22" s="263" t="s">
        <v>803</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C8571-2D88-4604-AD01-C20364EE6FE9}">
  <dimension ref="A1:L28"/>
  <sheetViews>
    <sheetView workbookViewId="0">
      <selection activeCell="K3" sqref="K3"/>
    </sheetView>
  </sheetViews>
  <sheetFormatPr defaultRowHeight="15"/>
  <cols>
    <col min="1" max="1" width="5.28515625" customWidth="1"/>
    <col min="2" max="2" width="50.570312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800</v>
      </c>
      <c r="D3" s="255"/>
      <c r="E3" s="255"/>
      <c r="F3" s="256"/>
    </row>
    <row r="4" spans="1:12" ht="29.25" customHeight="1">
      <c r="A4" s="6"/>
      <c r="B4" s="7" t="s">
        <v>8</v>
      </c>
      <c r="C4" s="254" t="s">
        <v>764</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5" customHeight="1">
      <c r="A7" s="52"/>
      <c r="B7" s="59"/>
      <c r="C7" s="75"/>
      <c r="D7" s="75"/>
      <c r="E7" s="74"/>
      <c r="F7" s="74"/>
    </row>
    <row r="8" spans="1:12" ht="19.7" customHeight="1">
      <c r="A8" s="67">
        <v>1</v>
      </c>
      <c r="B8" s="182" t="s">
        <v>795</v>
      </c>
      <c r="C8" s="184">
        <v>20</v>
      </c>
      <c r="D8" s="185" t="s">
        <v>685</v>
      </c>
      <c r="E8" s="186">
        <v>172</v>
      </c>
      <c r="F8" s="186">
        <f t="shared" ref="F8:F12" si="0">C8*E8</f>
        <v>3440</v>
      </c>
    </row>
    <row r="9" spans="1:12" ht="15.95" customHeight="1">
      <c r="A9" s="67">
        <v>2</v>
      </c>
      <c r="B9" s="182" t="s">
        <v>796</v>
      </c>
      <c r="C9" s="184">
        <v>10</v>
      </c>
      <c r="D9" s="185" t="s">
        <v>685</v>
      </c>
      <c r="E9" s="186">
        <v>216</v>
      </c>
      <c r="F9" s="186">
        <f t="shared" si="0"/>
        <v>2160</v>
      </c>
    </row>
    <row r="10" spans="1:12" ht="15.95" customHeight="1">
      <c r="A10" s="67">
        <v>3</v>
      </c>
      <c r="B10" s="182" t="s">
        <v>797</v>
      </c>
      <c r="C10" s="184">
        <v>20</v>
      </c>
      <c r="D10" s="185" t="s">
        <v>685</v>
      </c>
      <c r="E10" s="186">
        <v>176</v>
      </c>
      <c r="F10" s="186">
        <f t="shared" si="0"/>
        <v>3520</v>
      </c>
    </row>
    <row r="11" spans="1:12" ht="15.95" customHeight="1">
      <c r="A11" s="67">
        <v>4</v>
      </c>
      <c r="B11" s="182" t="s">
        <v>798</v>
      </c>
      <c r="C11" s="184">
        <v>20</v>
      </c>
      <c r="D11" s="185" t="s">
        <v>685</v>
      </c>
      <c r="E11" s="186">
        <v>310</v>
      </c>
      <c r="F11" s="186">
        <f t="shared" si="0"/>
        <v>6200</v>
      </c>
    </row>
    <row r="12" spans="1:12" ht="15.95" customHeight="1">
      <c r="A12" s="67">
        <v>5</v>
      </c>
      <c r="B12" s="182" t="s">
        <v>799</v>
      </c>
      <c r="C12" s="184">
        <v>20</v>
      </c>
      <c r="D12" s="185" t="s">
        <v>685</v>
      </c>
      <c r="E12" s="186">
        <v>410</v>
      </c>
      <c r="F12" s="186">
        <f t="shared" si="0"/>
        <v>8200</v>
      </c>
    </row>
    <row r="13" spans="1:12" ht="15.95" customHeight="1">
      <c r="A13" s="67"/>
      <c r="B13" s="187"/>
      <c r="C13" s="67"/>
      <c r="D13" s="183"/>
      <c r="E13" s="188"/>
      <c r="F13" s="188"/>
    </row>
    <row r="14" spans="1:12" ht="15.95" customHeight="1">
      <c r="A14" s="6"/>
      <c r="B14" s="179"/>
      <c r="C14" s="68"/>
      <c r="D14" s="3"/>
      <c r="E14" s="69"/>
      <c r="F14" s="69"/>
    </row>
    <row r="15" spans="1:12" ht="15.95" customHeight="1">
      <c r="A15" s="6"/>
      <c r="B15" s="7"/>
      <c r="C15" s="68"/>
      <c r="D15" s="3"/>
      <c r="E15" s="69"/>
      <c r="F15" s="69"/>
    </row>
    <row r="16" spans="1:12" ht="15.95" customHeight="1">
      <c r="A16" s="6"/>
      <c r="B16" s="7"/>
      <c r="C16" s="68"/>
      <c r="D16" s="3"/>
      <c r="E16" s="69"/>
      <c r="F16" s="69"/>
    </row>
    <row r="17" spans="1:6" ht="15.95" customHeight="1">
      <c r="A17" s="104"/>
      <c r="B17" s="166"/>
      <c r="C17" s="80"/>
      <c r="D17" s="80"/>
      <c r="E17" s="106"/>
      <c r="F17" s="82"/>
    </row>
    <row r="18" spans="1:6" ht="15" customHeight="1">
      <c r="A18" s="287" t="s">
        <v>14</v>
      </c>
      <c r="B18" s="288"/>
      <c r="C18" s="288"/>
      <c r="D18" s="288"/>
      <c r="E18" s="289"/>
      <c r="F18" s="173">
        <f>SUM(F8:F17)</f>
        <v>23520</v>
      </c>
    </row>
    <row r="19" spans="1:6" ht="15" customHeight="1">
      <c r="A19" s="246" t="s">
        <v>15</v>
      </c>
      <c r="B19" s="247"/>
      <c r="C19" s="247"/>
      <c r="D19" s="247"/>
      <c r="E19" s="248"/>
      <c r="F19" s="83">
        <f>+F18*9%</f>
        <v>2116.7999999999997</v>
      </c>
    </row>
    <row r="20" spans="1:6" ht="15" customHeight="1">
      <c r="A20" s="246" t="s">
        <v>16</v>
      </c>
      <c r="B20" s="247"/>
      <c r="C20" s="247"/>
      <c r="D20" s="247"/>
      <c r="E20" s="248"/>
      <c r="F20" s="83">
        <f>+F18*9%</f>
        <v>2116.7999999999997</v>
      </c>
    </row>
    <row r="21" spans="1:6" ht="15" customHeight="1">
      <c r="A21" s="260" t="s">
        <v>17</v>
      </c>
      <c r="B21" s="261"/>
      <c r="C21" s="261"/>
      <c r="D21" s="261"/>
      <c r="E21" s="262"/>
      <c r="F21" s="84">
        <f>SUM(F18:F20)</f>
        <v>27753.599999999999</v>
      </c>
    </row>
    <row r="22" spans="1:6" ht="31.35" customHeight="1">
      <c r="A22" s="263" t="s">
        <v>801</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8955-1B26-4B97-8BA1-AEC208572E64}">
  <dimension ref="A1:F32"/>
  <sheetViews>
    <sheetView topLeftCell="A7" workbookViewId="0">
      <selection activeCell="J27" sqref="J27"/>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783</v>
      </c>
      <c r="C3" s="254" t="s">
        <v>786</v>
      </c>
      <c r="D3" s="255"/>
      <c r="E3" s="255"/>
      <c r="F3" s="256"/>
    </row>
    <row r="4" spans="1:6" ht="29.25" customHeight="1">
      <c r="A4" s="6"/>
      <c r="B4" s="7" t="s">
        <v>785</v>
      </c>
      <c r="C4" s="254" t="s">
        <v>764</v>
      </c>
      <c r="D4" s="255"/>
      <c r="E4" s="255"/>
      <c r="F4" s="256"/>
    </row>
    <row r="5" spans="1:6" ht="16.5" customHeight="1">
      <c r="A5" s="8"/>
      <c r="B5" s="2" t="s">
        <v>784</v>
      </c>
      <c r="C5" s="257" t="s">
        <v>9</v>
      </c>
      <c r="D5" s="258"/>
      <c r="E5" s="258"/>
      <c r="F5" s="259"/>
    </row>
    <row r="6" spans="1:6" ht="16.5">
      <c r="A6" s="9" t="s">
        <v>3</v>
      </c>
      <c r="B6" s="9" t="s">
        <v>4</v>
      </c>
      <c r="C6" s="9" t="s">
        <v>5</v>
      </c>
      <c r="D6" s="9" t="s">
        <v>10</v>
      </c>
      <c r="E6" s="9" t="s">
        <v>11</v>
      </c>
      <c r="F6" s="9" t="s">
        <v>12</v>
      </c>
    </row>
    <row r="7" spans="1:6" ht="14.25" customHeight="1">
      <c r="A7" s="74"/>
      <c r="B7" s="74"/>
      <c r="C7" s="75"/>
      <c r="D7" s="75"/>
      <c r="E7" s="74"/>
      <c r="F7" s="74"/>
    </row>
    <row r="8" spans="1:6" ht="18.399999999999999" customHeight="1">
      <c r="A8" s="150">
        <v>1</v>
      </c>
      <c r="B8" s="7" t="s">
        <v>792</v>
      </c>
      <c r="C8" s="68">
        <v>1</v>
      </c>
      <c r="D8" s="68" t="s">
        <v>13</v>
      </c>
      <c r="E8" s="69">
        <v>235000</v>
      </c>
      <c r="F8" s="69">
        <f>C8*E8</f>
        <v>235000</v>
      </c>
    </row>
    <row r="9" spans="1:6" ht="15" customHeight="1">
      <c r="A9" s="6"/>
      <c r="B9" s="181" t="s">
        <v>770</v>
      </c>
      <c r="C9" s="68"/>
      <c r="D9" s="68"/>
      <c r="E9" s="69"/>
      <c r="F9" s="69"/>
    </row>
    <row r="10" spans="1:6" ht="20.45" customHeight="1">
      <c r="A10" s="6"/>
      <c r="B10" s="7" t="s">
        <v>460</v>
      </c>
      <c r="C10" s="68"/>
      <c r="D10" s="68"/>
      <c r="E10" s="69"/>
      <c r="F10" s="69"/>
    </row>
    <row r="11" spans="1:6" ht="19.149999999999999" customHeight="1">
      <c r="A11" s="6"/>
      <c r="B11" s="181" t="s">
        <v>771</v>
      </c>
      <c r="C11" s="68"/>
      <c r="D11" s="68"/>
      <c r="E11" s="69"/>
      <c r="F11" s="69"/>
    </row>
    <row r="12" spans="1:6" ht="15" customHeight="1">
      <c r="A12" s="6"/>
      <c r="B12" s="181" t="s">
        <v>772</v>
      </c>
      <c r="C12" s="68"/>
      <c r="D12" s="68"/>
      <c r="E12" s="69"/>
      <c r="F12" s="69"/>
    </row>
    <row r="13" spans="1:6" ht="15" customHeight="1">
      <c r="A13" s="6"/>
      <c r="B13" s="181" t="s">
        <v>773</v>
      </c>
      <c r="C13" s="68"/>
      <c r="D13" s="68"/>
      <c r="E13" s="69"/>
      <c r="F13" s="69"/>
    </row>
    <row r="14" spans="1:6" ht="15" customHeight="1">
      <c r="A14" s="6"/>
      <c r="B14" s="7" t="s">
        <v>781</v>
      </c>
      <c r="C14" s="68"/>
      <c r="D14" s="68"/>
      <c r="E14" s="69"/>
      <c r="F14" s="69"/>
    </row>
    <row r="15" spans="1:6" ht="15" customHeight="1">
      <c r="A15" s="6"/>
      <c r="B15" s="114" t="s">
        <v>774</v>
      </c>
      <c r="C15" s="68"/>
      <c r="D15" s="68"/>
      <c r="E15" s="69"/>
      <c r="F15" s="69"/>
    </row>
    <row r="16" spans="1:6" ht="15" customHeight="1">
      <c r="A16" s="6"/>
      <c r="B16" s="151" t="s">
        <v>775</v>
      </c>
      <c r="C16" s="67"/>
      <c r="D16" s="67"/>
      <c r="E16" s="78"/>
      <c r="F16" s="69"/>
    </row>
    <row r="17" spans="1:6" ht="15" customHeight="1">
      <c r="A17" s="6"/>
      <c r="B17" s="151" t="s">
        <v>776</v>
      </c>
      <c r="C17" s="67"/>
      <c r="D17" s="67"/>
      <c r="E17" s="78"/>
      <c r="F17" s="69"/>
    </row>
    <row r="18" spans="1:6" ht="15" customHeight="1">
      <c r="A18" s="6"/>
      <c r="B18" s="151" t="s">
        <v>777</v>
      </c>
      <c r="C18" s="67"/>
      <c r="D18" s="67"/>
      <c r="E18" s="78"/>
      <c r="F18" s="69"/>
    </row>
    <row r="19" spans="1:6" ht="13.7" customHeight="1">
      <c r="A19" s="6"/>
      <c r="B19" s="151" t="s">
        <v>778</v>
      </c>
      <c r="C19" s="67"/>
      <c r="D19" s="67"/>
      <c r="E19" s="78"/>
      <c r="F19" s="69"/>
    </row>
    <row r="20" spans="1:6" ht="15" customHeight="1">
      <c r="A20" s="6"/>
      <c r="B20" s="151" t="s">
        <v>779</v>
      </c>
      <c r="C20" s="67"/>
      <c r="D20" s="67"/>
      <c r="E20" s="78"/>
      <c r="F20" s="69"/>
    </row>
    <row r="21" spans="1:6" ht="15" customHeight="1">
      <c r="A21" s="104"/>
      <c r="B21" s="111" t="s">
        <v>793</v>
      </c>
      <c r="C21" s="80"/>
      <c r="D21" s="80"/>
      <c r="E21" s="106"/>
      <c r="F21" s="82"/>
    </row>
    <row r="22" spans="1:6" ht="15.75">
      <c r="A22" s="246" t="s">
        <v>14</v>
      </c>
      <c r="B22" s="247"/>
      <c r="C22" s="247"/>
      <c r="D22" s="247"/>
      <c r="E22" s="248"/>
      <c r="F22" s="83">
        <f>SUM(F8:F21)</f>
        <v>235000</v>
      </c>
    </row>
    <row r="23" spans="1:6" ht="15.75">
      <c r="A23" s="246" t="s">
        <v>15</v>
      </c>
      <c r="B23" s="247"/>
      <c r="C23" s="247"/>
      <c r="D23" s="247"/>
      <c r="E23" s="248"/>
      <c r="F23" s="83">
        <f>+F22*9%</f>
        <v>21150</v>
      </c>
    </row>
    <row r="24" spans="1:6" ht="15.75">
      <c r="A24" s="246" t="s">
        <v>16</v>
      </c>
      <c r="B24" s="247"/>
      <c r="C24" s="247"/>
      <c r="D24" s="247"/>
      <c r="E24" s="248"/>
      <c r="F24" s="83">
        <f>+F22*9%</f>
        <v>21150</v>
      </c>
    </row>
    <row r="25" spans="1:6" ht="17.45" customHeight="1">
      <c r="A25" s="260" t="s">
        <v>17</v>
      </c>
      <c r="B25" s="261"/>
      <c r="C25" s="261"/>
      <c r="D25" s="261"/>
      <c r="E25" s="262"/>
      <c r="F25" s="84">
        <f>SUM(F22:F24)</f>
        <v>277300</v>
      </c>
    </row>
    <row r="26" spans="1:6" ht="33" customHeight="1">
      <c r="A26" s="263" t="s">
        <v>794</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0">
    <mergeCell ref="A31:F31"/>
    <mergeCell ref="A32:F32"/>
    <mergeCell ref="A28:B28"/>
    <mergeCell ref="C28:F28"/>
    <mergeCell ref="A29:B29"/>
    <mergeCell ref="C29:F29"/>
    <mergeCell ref="A30:B30"/>
    <mergeCell ref="C30:F30"/>
    <mergeCell ref="A23:E23"/>
    <mergeCell ref="A24:E24"/>
    <mergeCell ref="A25:E25"/>
    <mergeCell ref="A26:F26"/>
    <mergeCell ref="A27:B27"/>
    <mergeCell ref="C27:F27"/>
    <mergeCell ref="A22:E22"/>
    <mergeCell ref="B1:F1"/>
    <mergeCell ref="A2:F2"/>
    <mergeCell ref="C3:F3"/>
    <mergeCell ref="C4:F4"/>
    <mergeCell ref="C5:F5"/>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712F4-7D7E-45B1-B44C-B485122A3F72}">
  <dimension ref="A1:F32"/>
  <sheetViews>
    <sheetView topLeftCell="A4" workbookViewId="0">
      <selection activeCell="K14" sqref="K14"/>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783</v>
      </c>
      <c r="C3" s="254" t="s">
        <v>768</v>
      </c>
      <c r="D3" s="255"/>
      <c r="E3" s="255"/>
      <c r="F3" s="256"/>
    </row>
    <row r="4" spans="1:6" ht="29.25" customHeight="1">
      <c r="A4" s="6"/>
      <c r="B4" s="7" t="s">
        <v>785</v>
      </c>
      <c r="C4" s="254" t="s">
        <v>764</v>
      </c>
      <c r="D4" s="255"/>
      <c r="E4" s="255"/>
      <c r="F4" s="256"/>
    </row>
    <row r="5" spans="1:6" ht="16.5" customHeight="1">
      <c r="A5" s="8"/>
      <c r="B5" s="2" t="s">
        <v>784</v>
      </c>
      <c r="C5" s="257" t="s">
        <v>9</v>
      </c>
      <c r="D5" s="258"/>
      <c r="E5" s="258"/>
      <c r="F5" s="259"/>
    </row>
    <row r="6" spans="1:6" ht="16.5">
      <c r="A6" s="9" t="s">
        <v>3</v>
      </c>
      <c r="B6" s="9" t="s">
        <v>4</v>
      </c>
      <c r="C6" s="9" t="s">
        <v>5</v>
      </c>
      <c r="D6" s="9" t="s">
        <v>10</v>
      </c>
      <c r="E6" s="9" t="s">
        <v>11</v>
      </c>
      <c r="F6" s="9" t="s">
        <v>12</v>
      </c>
    </row>
    <row r="7" spans="1:6" ht="14.25" customHeight="1">
      <c r="A7" s="74"/>
      <c r="B7" s="74"/>
      <c r="C7" s="75"/>
      <c r="D7" s="75"/>
      <c r="E7" s="74"/>
      <c r="F7" s="74"/>
    </row>
    <row r="8" spans="1:6" ht="18.399999999999999" customHeight="1">
      <c r="A8" s="150">
        <v>1</v>
      </c>
      <c r="B8" s="7" t="s">
        <v>769</v>
      </c>
      <c r="C8" s="68">
        <v>1</v>
      </c>
      <c r="D8" s="68" t="s">
        <v>13</v>
      </c>
      <c r="E8" s="69">
        <v>345450</v>
      </c>
      <c r="F8" s="69">
        <f>C8*E8</f>
        <v>345450</v>
      </c>
    </row>
    <row r="9" spans="1:6" ht="15" customHeight="1">
      <c r="A9" s="6"/>
      <c r="B9" s="181" t="s">
        <v>770</v>
      </c>
      <c r="C9" s="68"/>
      <c r="D9" s="68"/>
      <c r="E9" s="69"/>
      <c r="F9" s="69"/>
    </row>
    <row r="10" spans="1:6" ht="20.45" customHeight="1">
      <c r="A10" s="6"/>
      <c r="B10" s="7" t="s">
        <v>728</v>
      </c>
      <c r="C10" s="68"/>
      <c r="D10" s="68"/>
      <c r="E10" s="69"/>
      <c r="F10" s="69"/>
    </row>
    <row r="11" spans="1:6" ht="19.149999999999999" customHeight="1">
      <c r="A11" s="6"/>
      <c r="B11" s="181" t="s">
        <v>771</v>
      </c>
      <c r="C11" s="68"/>
      <c r="D11" s="68"/>
      <c r="E11" s="69"/>
      <c r="F11" s="69"/>
    </row>
    <row r="12" spans="1:6" ht="15" customHeight="1">
      <c r="A12" s="6"/>
      <c r="B12" s="181" t="s">
        <v>772</v>
      </c>
      <c r="C12" s="68"/>
      <c r="D12" s="68"/>
      <c r="E12" s="69"/>
      <c r="F12" s="69"/>
    </row>
    <row r="13" spans="1:6" ht="15" customHeight="1">
      <c r="A13" s="6"/>
      <c r="B13" s="181" t="s">
        <v>773</v>
      </c>
      <c r="C13" s="68"/>
      <c r="D13" s="68"/>
      <c r="E13" s="69"/>
      <c r="F13" s="69"/>
    </row>
    <row r="14" spans="1:6" ht="15" customHeight="1">
      <c r="A14" s="6"/>
      <c r="B14" s="7" t="s">
        <v>781</v>
      </c>
      <c r="C14" s="68"/>
      <c r="D14" s="68"/>
      <c r="E14" s="69"/>
      <c r="F14" s="69"/>
    </row>
    <row r="15" spans="1:6" ht="15" customHeight="1">
      <c r="A15" s="6"/>
      <c r="B15" s="114" t="s">
        <v>774</v>
      </c>
      <c r="C15" s="68"/>
      <c r="D15" s="68"/>
      <c r="E15" s="69"/>
      <c r="F15" s="69"/>
    </row>
    <row r="16" spans="1:6" ht="15" customHeight="1">
      <c r="A16" s="6"/>
      <c r="B16" s="151" t="s">
        <v>775</v>
      </c>
      <c r="C16" s="67"/>
      <c r="D16" s="67"/>
      <c r="E16" s="78"/>
      <c r="F16" s="69"/>
    </row>
    <row r="17" spans="1:6" ht="15" customHeight="1">
      <c r="A17" s="6"/>
      <c r="B17" s="151" t="s">
        <v>776</v>
      </c>
      <c r="C17" s="67"/>
      <c r="D17" s="67"/>
      <c r="E17" s="78"/>
      <c r="F17" s="69"/>
    </row>
    <row r="18" spans="1:6" ht="15" customHeight="1">
      <c r="A18" s="6"/>
      <c r="B18" s="151" t="s">
        <v>777</v>
      </c>
      <c r="C18" s="67"/>
      <c r="D18" s="67"/>
      <c r="E18" s="78"/>
      <c r="F18" s="69"/>
    </row>
    <row r="19" spans="1:6" ht="13.7" customHeight="1">
      <c r="A19" s="6"/>
      <c r="B19" s="151" t="s">
        <v>778</v>
      </c>
      <c r="C19" s="67"/>
      <c r="D19" s="67"/>
      <c r="E19" s="78"/>
      <c r="F19" s="69"/>
    </row>
    <row r="20" spans="1:6" ht="15" customHeight="1">
      <c r="A20" s="6"/>
      <c r="B20" s="151" t="s">
        <v>780</v>
      </c>
      <c r="C20" s="67"/>
      <c r="D20" s="67"/>
      <c r="E20" s="78"/>
      <c r="F20" s="69"/>
    </row>
    <row r="21" spans="1:6" ht="15" customHeight="1">
      <c r="A21" s="104"/>
      <c r="B21" s="111"/>
      <c r="C21" s="80"/>
      <c r="D21" s="80"/>
      <c r="E21" s="106"/>
      <c r="F21" s="82"/>
    </row>
    <row r="22" spans="1:6" ht="15.75">
      <c r="A22" s="246" t="s">
        <v>14</v>
      </c>
      <c r="B22" s="247"/>
      <c r="C22" s="247"/>
      <c r="D22" s="247"/>
      <c r="E22" s="248"/>
      <c r="F22" s="83">
        <f>SUM(F8:F21)</f>
        <v>345450</v>
      </c>
    </row>
    <row r="23" spans="1:6" ht="15.75">
      <c r="A23" s="246" t="s">
        <v>15</v>
      </c>
      <c r="B23" s="247"/>
      <c r="C23" s="247"/>
      <c r="D23" s="247"/>
      <c r="E23" s="248"/>
      <c r="F23" s="83">
        <f>+F22*9%</f>
        <v>31090.5</v>
      </c>
    </row>
    <row r="24" spans="1:6" ht="15.75">
      <c r="A24" s="246" t="s">
        <v>16</v>
      </c>
      <c r="B24" s="247"/>
      <c r="C24" s="247"/>
      <c r="D24" s="247"/>
      <c r="E24" s="248"/>
      <c r="F24" s="83">
        <f>+F22*9%</f>
        <v>31090.5</v>
      </c>
    </row>
    <row r="25" spans="1:6" ht="17.45" customHeight="1">
      <c r="A25" s="260" t="s">
        <v>17</v>
      </c>
      <c r="B25" s="261"/>
      <c r="C25" s="261"/>
      <c r="D25" s="261"/>
      <c r="E25" s="262"/>
      <c r="F25" s="84">
        <f>SUM(F22:F24)</f>
        <v>407631</v>
      </c>
    </row>
    <row r="26" spans="1:6" ht="33" customHeight="1">
      <c r="A26" s="263" t="s">
        <v>782</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0">
    <mergeCell ref="A31:F31"/>
    <mergeCell ref="A32:F32"/>
    <mergeCell ref="A28:B28"/>
    <mergeCell ref="C28:F28"/>
    <mergeCell ref="A29:B29"/>
    <mergeCell ref="C29:F29"/>
    <mergeCell ref="A30:B30"/>
    <mergeCell ref="C30:F30"/>
    <mergeCell ref="A23:E23"/>
    <mergeCell ref="A24:E24"/>
    <mergeCell ref="A25:E25"/>
    <mergeCell ref="A26:F26"/>
    <mergeCell ref="A27:B27"/>
    <mergeCell ref="C27:F27"/>
    <mergeCell ref="A22:E22"/>
    <mergeCell ref="B1:F1"/>
    <mergeCell ref="A2:F2"/>
    <mergeCell ref="C3:F3"/>
    <mergeCell ref="C4:F4"/>
    <mergeCell ref="C5:F5"/>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CB1B-0A75-4D72-8CC2-97D0693367CD}">
  <dimension ref="A1:F31"/>
  <sheetViews>
    <sheetView workbookViewId="0">
      <selection activeCell="K9" sqref="K9"/>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v>
      </c>
      <c r="C3" s="254" t="s">
        <v>763</v>
      </c>
      <c r="D3" s="255"/>
      <c r="E3" s="255"/>
      <c r="F3" s="256"/>
    </row>
    <row r="4" spans="1:6" ht="29.25" customHeight="1">
      <c r="A4" s="6"/>
      <c r="B4" s="7" t="s">
        <v>62</v>
      </c>
      <c r="C4" s="254" t="s">
        <v>764</v>
      </c>
      <c r="D4" s="255"/>
      <c r="E4" s="255"/>
      <c r="F4" s="256"/>
    </row>
    <row r="5" spans="1:6" ht="16.5" customHeight="1">
      <c r="A5" s="8"/>
      <c r="B5" s="2" t="s">
        <v>63</v>
      </c>
      <c r="C5" s="257" t="s">
        <v>9</v>
      </c>
      <c r="D5" s="258"/>
      <c r="E5" s="258"/>
      <c r="F5" s="259"/>
    </row>
    <row r="6" spans="1:6" ht="16.5">
      <c r="A6" s="9" t="s">
        <v>3</v>
      </c>
      <c r="B6" s="9" t="s">
        <v>4</v>
      </c>
      <c r="C6" s="9" t="s">
        <v>5</v>
      </c>
      <c r="D6" s="9" t="s">
        <v>10</v>
      </c>
      <c r="E6" s="9" t="s">
        <v>11</v>
      </c>
      <c r="F6" s="9" t="s">
        <v>12</v>
      </c>
    </row>
    <row r="7" spans="1:6" ht="25.9" customHeight="1">
      <c r="A7" s="74"/>
      <c r="B7" s="74"/>
      <c r="C7" s="75"/>
      <c r="D7" s="75"/>
      <c r="E7" s="74"/>
      <c r="F7" s="74"/>
    </row>
    <row r="8" spans="1:6" ht="18.399999999999999" customHeight="1">
      <c r="A8" s="150">
        <v>1</v>
      </c>
      <c r="B8" s="114" t="s">
        <v>679</v>
      </c>
      <c r="C8" s="68">
        <v>2</v>
      </c>
      <c r="D8" s="68" t="s">
        <v>13</v>
      </c>
      <c r="E8" s="69">
        <v>1000</v>
      </c>
      <c r="F8" s="69">
        <f>C8*E8</f>
        <v>2000</v>
      </c>
    </row>
    <row r="9" spans="1:6" ht="15" customHeight="1">
      <c r="A9" s="6"/>
      <c r="B9" s="151"/>
      <c r="C9" s="68"/>
      <c r="D9" s="68"/>
      <c r="E9" s="69"/>
      <c r="F9" s="69"/>
    </row>
    <row r="10" spans="1:6" ht="20.45" customHeight="1">
      <c r="A10" s="6">
        <v>2</v>
      </c>
      <c r="B10" s="114" t="s">
        <v>765</v>
      </c>
      <c r="C10" s="68">
        <v>24</v>
      </c>
      <c r="D10" s="68" t="s">
        <v>13</v>
      </c>
      <c r="E10" s="69">
        <v>1450</v>
      </c>
      <c r="F10" s="69">
        <f>C10*E10</f>
        <v>34800</v>
      </c>
    </row>
    <row r="11" spans="1:6" ht="19.149999999999999" customHeight="1">
      <c r="A11" s="6"/>
      <c r="B11" s="151" t="s">
        <v>766</v>
      </c>
      <c r="C11" s="68"/>
      <c r="D11" s="68"/>
      <c r="E11" s="69"/>
      <c r="F11" s="69"/>
    </row>
    <row r="12" spans="1:6" ht="15" customHeight="1">
      <c r="A12" s="6"/>
      <c r="B12" s="114"/>
      <c r="C12" s="68"/>
      <c r="D12" s="68"/>
      <c r="E12" s="69"/>
      <c r="F12" s="69"/>
    </row>
    <row r="13" spans="1:6" ht="15" customHeight="1">
      <c r="A13" s="6"/>
      <c r="B13" s="151"/>
      <c r="C13" s="68"/>
      <c r="D13" s="68"/>
      <c r="E13" s="69"/>
      <c r="F13" s="69"/>
    </row>
    <row r="14" spans="1:6" ht="15" customHeight="1">
      <c r="A14" s="6"/>
      <c r="B14" s="114"/>
      <c r="C14" s="68"/>
      <c r="D14" s="68"/>
      <c r="E14" s="69"/>
      <c r="F14" s="69"/>
    </row>
    <row r="15" spans="1:6" ht="15" customHeight="1">
      <c r="A15" s="6"/>
      <c r="B15" s="151"/>
      <c r="C15" s="67"/>
      <c r="D15" s="67"/>
      <c r="E15" s="78"/>
      <c r="F15" s="69"/>
    </row>
    <row r="16" spans="1:6" ht="15" customHeight="1">
      <c r="A16" s="6"/>
      <c r="B16" s="114"/>
      <c r="C16" s="67"/>
      <c r="D16" s="67"/>
      <c r="E16" s="78"/>
      <c r="F16" s="69"/>
    </row>
    <row r="17" spans="1:6" ht="15" customHeight="1">
      <c r="A17" s="6"/>
      <c r="B17" s="114"/>
      <c r="C17" s="67"/>
      <c r="D17" s="67"/>
      <c r="E17" s="78"/>
      <c r="F17" s="69"/>
    </row>
    <row r="18" spans="1:6" ht="13.7" customHeight="1">
      <c r="A18" s="6"/>
      <c r="B18" s="152"/>
      <c r="C18" s="67"/>
      <c r="D18" s="67"/>
      <c r="E18" s="78"/>
      <c r="F18" s="69"/>
    </row>
    <row r="19" spans="1:6" ht="15" customHeight="1">
      <c r="A19" s="6"/>
      <c r="B19" s="50"/>
      <c r="C19" s="67"/>
      <c r="D19" s="67"/>
      <c r="E19" s="78"/>
      <c r="F19" s="69"/>
    </row>
    <row r="20" spans="1:6" ht="15" customHeight="1">
      <c r="A20" s="104"/>
      <c r="B20" s="111"/>
      <c r="C20" s="80"/>
      <c r="D20" s="80"/>
      <c r="E20" s="106"/>
      <c r="F20" s="82"/>
    </row>
    <row r="21" spans="1:6" ht="15.75">
      <c r="A21" s="246" t="s">
        <v>14</v>
      </c>
      <c r="B21" s="247"/>
      <c r="C21" s="247"/>
      <c r="D21" s="247"/>
      <c r="E21" s="248"/>
      <c r="F21" s="83">
        <f>SUM(F8:F20)</f>
        <v>36800</v>
      </c>
    </row>
    <row r="22" spans="1:6" ht="15.75">
      <c r="A22" s="246" t="s">
        <v>15</v>
      </c>
      <c r="B22" s="247"/>
      <c r="C22" s="247"/>
      <c r="D22" s="247"/>
      <c r="E22" s="248"/>
      <c r="F22" s="83">
        <f>+F21*9%</f>
        <v>3312</v>
      </c>
    </row>
    <row r="23" spans="1:6" ht="15.75">
      <c r="A23" s="246" t="s">
        <v>16</v>
      </c>
      <c r="B23" s="247"/>
      <c r="C23" s="247"/>
      <c r="D23" s="247"/>
      <c r="E23" s="248"/>
      <c r="F23" s="83">
        <f>+F21*9%</f>
        <v>3312</v>
      </c>
    </row>
    <row r="24" spans="1:6" ht="17.45" customHeight="1">
      <c r="A24" s="260" t="s">
        <v>17</v>
      </c>
      <c r="B24" s="261"/>
      <c r="C24" s="261"/>
      <c r="D24" s="261"/>
      <c r="E24" s="262"/>
      <c r="F24" s="84">
        <f>SUM(F21:F23)</f>
        <v>43424</v>
      </c>
    </row>
    <row r="25" spans="1:6" ht="33" customHeight="1">
      <c r="A25" s="263" t="s">
        <v>767</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21:E21"/>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D3F1-9D68-466D-8399-2B17F10B6AB6}">
  <dimension ref="A1:L30"/>
  <sheetViews>
    <sheetView topLeftCell="A7" workbookViewId="0">
      <selection activeCell="C3" sqref="C3:F3"/>
    </sheetView>
  </sheetViews>
  <sheetFormatPr defaultRowHeight="15"/>
  <cols>
    <col min="1" max="1" width="5.28515625" customWidth="1"/>
    <col min="2" max="2" width="53.140625" customWidth="1"/>
    <col min="3" max="3" width="5" customWidth="1"/>
    <col min="4" max="4" width="5.28515625" customWidth="1"/>
    <col min="5" max="5" width="10.28515625" customWidth="1"/>
    <col min="6" max="6" width="11.140625" customWidth="1"/>
  </cols>
  <sheetData>
    <row r="1" spans="1:12" ht="105.95"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748</v>
      </c>
      <c r="D3" s="255"/>
      <c r="E3" s="255"/>
      <c r="F3" s="256"/>
    </row>
    <row r="4" spans="1:12" ht="29.25" customHeight="1">
      <c r="A4" s="6"/>
      <c r="B4" s="7" t="s">
        <v>8</v>
      </c>
      <c r="C4" s="254" t="s">
        <v>821</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8.85" customHeight="1">
      <c r="A7" s="52"/>
      <c r="B7" s="59"/>
      <c r="C7" s="75"/>
      <c r="D7" s="75"/>
      <c r="E7" s="74"/>
      <c r="F7" s="74"/>
    </row>
    <row r="8" spans="1:12" ht="15" customHeight="1">
      <c r="A8" s="6"/>
      <c r="B8" s="178" t="s">
        <v>755</v>
      </c>
      <c r="C8" s="3"/>
      <c r="D8" s="3"/>
      <c r="E8" s="69"/>
      <c r="F8" s="69"/>
    </row>
    <row r="9" spans="1:12" ht="15" customHeight="1">
      <c r="A9" s="6"/>
      <c r="B9" s="178" t="s">
        <v>756</v>
      </c>
      <c r="C9" s="3"/>
      <c r="D9" s="3"/>
      <c r="E9" s="69"/>
      <c r="F9" s="69"/>
    </row>
    <row r="10" spans="1:12" ht="15" customHeight="1">
      <c r="A10" s="6">
        <v>1</v>
      </c>
      <c r="B10" s="7" t="s">
        <v>819</v>
      </c>
      <c r="C10" s="68">
        <v>5</v>
      </c>
      <c r="D10" s="3" t="s">
        <v>13</v>
      </c>
      <c r="E10" s="69">
        <v>120000</v>
      </c>
      <c r="F10" s="69">
        <f t="shared" ref="F10" si="0">C10*E10</f>
        <v>600000</v>
      </c>
    </row>
    <row r="11" spans="1:12" ht="15" customHeight="1">
      <c r="A11" s="6"/>
      <c r="B11" s="7"/>
      <c r="C11" s="68"/>
      <c r="D11" s="3"/>
      <c r="E11" s="69"/>
      <c r="F11" s="69"/>
    </row>
    <row r="12" spans="1:12" ht="15" customHeight="1">
      <c r="A12" s="6">
        <v>2</v>
      </c>
      <c r="B12" s="7" t="s">
        <v>820</v>
      </c>
      <c r="C12" s="68">
        <v>1</v>
      </c>
      <c r="D12" s="3" t="s">
        <v>13</v>
      </c>
      <c r="E12" s="69">
        <v>60000</v>
      </c>
      <c r="F12" s="69">
        <f t="shared" ref="F12" si="1">C12*E12</f>
        <v>60000</v>
      </c>
    </row>
    <row r="13" spans="1:12" ht="15" customHeight="1">
      <c r="A13" s="6"/>
      <c r="B13" s="7"/>
      <c r="C13" s="68"/>
      <c r="D13" s="3"/>
      <c r="E13" s="69"/>
      <c r="F13" s="69"/>
    </row>
    <row r="14" spans="1:12" ht="15" customHeight="1">
      <c r="A14" s="6"/>
      <c r="B14" s="7"/>
      <c r="C14" s="68"/>
      <c r="D14" s="3"/>
      <c r="E14" s="69"/>
      <c r="F14" s="69"/>
    </row>
    <row r="15" spans="1:12" ht="15" customHeight="1">
      <c r="A15" s="6"/>
      <c r="B15" s="179"/>
      <c r="C15" s="68"/>
      <c r="D15" s="3"/>
      <c r="E15" s="69"/>
      <c r="F15" s="69"/>
    </row>
    <row r="16" spans="1:12" ht="15" customHeight="1">
      <c r="A16" s="6"/>
      <c r="B16" s="7"/>
      <c r="C16" s="68"/>
      <c r="D16" s="3"/>
      <c r="E16" s="69"/>
      <c r="F16" s="69"/>
    </row>
    <row r="17" spans="1:6" ht="15" customHeight="1">
      <c r="A17" s="6"/>
      <c r="B17" s="7"/>
      <c r="C17" s="68"/>
      <c r="D17" s="3"/>
      <c r="E17" s="69"/>
      <c r="F17" s="69"/>
    </row>
    <row r="18" spans="1:6" ht="15" customHeight="1">
      <c r="A18" s="6"/>
      <c r="B18" s="7"/>
      <c r="C18" s="68"/>
      <c r="D18" s="3"/>
      <c r="E18" s="69"/>
      <c r="F18" s="69"/>
    </row>
    <row r="19" spans="1:6" ht="15" customHeight="1">
      <c r="A19" s="104"/>
      <c r="B19" s="166"/>
      <c r="C19" s="80"/>
      <c r="D19" s="80"/>
      <c r="E19" s="106"/>
      <c r="F19" s="82"/>
    </row>
    <row r="20" spans="1:6" ht="15" customHeight="1">
      <c r="A20" s="287" t="s">
        <v>14</v>
      </c>
      <c r="B20" s="288"/>
      <c r="C20" s="288"/>
      <c r="D20" s="288"/>
      <c r="E20" s="289"/>
      <c r="F20" s="173">
        <f>SUM(F8:F19)</f>
        <v>660000</v>
      </c>
    </row>
    <row r="21" spans="1:6" ht="15" customHeight="1">
      <c r="A21" s="246" t="s">
        <v>15</v>
      </c>
      <c r="B21" s="247"/>
      <c r="C21" s="247"/>
      <c r="D21" s="247"/>
      <c r="E21" s="248"/>
      <c r="F21" s="83">
        <f>+F20*9%</f>
        <v>59400</v>
      </c>
    </row>
    <row r="22" spans="1:6" ht="15" customHeight="1">
      <c r="A22" s="246" t="s">
        <v>16</v>
      </c>
      <c r="B22" s="247"/>
      <c r="C22" s="247"/>
      <c r="D22" s="247"/>
      <c r="E22" s="248"/>
      <c r="F22" s="83">
        <f>+F20*9%</f>
        <v>59400</v>
      </c>
    </row>
    <row r="23" spans="1:6" ht="15" customHeight="1">
      <c r="A23" s="260" t="s">
        <v>17</v>
      </c>
      <c r="B23" s="261"/>
      <c r="C23" s="261"/>
      <c r="D23" s="261"/>
      <c r="E23" s="262"/>
      <c r="F23" s="84">
        <f>SUM(F20:F22)</f>
        <v>778800</v>
      </c>
    </row>
    <row r="24" spans="1:6" ht="31.35" customHeight="1">
      <c r="A24" s="263" t="s">
        <v>757</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0:E20"/>
    <mergeCell ref="B1:F1"/>
    <mergeCell ref="A2:F2"/>
    <mergeCell ref="C3:F3"/>
    <mergeCell ref="C4:F4"/>
    <mergeCell ref="C5:F5"/>
    <mergeCell ref="A21:E21"/>
    <mergeCell ref="A22:E22"/>
    <mergeCell ref="A23:E23"/>
    <mergeCell ref="A24:F24"/>
    <mergeCell ref="A25:B25"/>
    <mergeCell ref="C25:F25"/>
    <mergeCell ref="A29:F29"/>
    <mergeCell ref="A30:F30"/>
    <mergeCell ref="A26:B26"/>
    <mergeCell ref="C26:F26"/>
    <mergeCell ref="A27:B27"/>
    <mergeCell ref="C27:F27"/>
    <mergeCell ref="A28:B28"/>
    <mergeCell ref="C28:F28"/>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334A-8245-4EFF-AD7B-263F209C2BB1}">
  <dimension ref="A1:L31"/>
  <sheetViews>
    <sheetView workbookViewId="0">
      <selection activeCell="J4" sqref="J4"/>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12" ht="117"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737</v>
      </c>
      <c r="D3" s="255"/>
      <c r="E3" s="255"/>
      <c r="F3" s="256"/>
    </row>
    <row r="4" spans="1:12" ht="29.25" customHeight="1">
      <c r="A4" s="6"/>
      <c r="B4" s="7" t="s">
        <v>8</v>
      </c>
      <c r="C4" s="254" t="s">
        <v>738</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9.7" customHeight="1">
      <c r="A7" s="52"/>
      <c r="B7" s="59"/>
      <c r="C7" s="75"/>
      <c r="D7" s="75"/>
      <c r="E7" s="74"/>
      <c r="F7" s="74"/>
    </row>
    <row r="8" spans="1:12" ht="15.95" customHeight="1">
      <c r="A8" s="6">
        <v>1</v>
      </c>
      <c r="B8" s="60" t="s">
        <v>759</v>
      </c>
      <c r="C8" s="3">
        <v>6</v>
      </c>
      <c r="D8" s="3" t="s">
        <v>13</v>
      </c>
      <c r="E8" s="69">
        <v>980</v>
      </c>
      <c r="F8" s="69">
        <f>C8*E8</f>
        <v>5880</v>
      </c>
    </row>
    <row r="9" spans="1:12" ht="15.95" customHeight="1">
      <c r="A9" s="6">
        <v>2</v>
      </c>
      <c r="B9" s="60" t="s">
        <v>758</v>
      </c>
      <c r="C9" s="3">
        <v>6</v>
      </c>
      <c r="D9" s="3" t="s">
        <v>13</v>
      </c>
      <c r="E9" s="69">
        <v>920</v>
      </c>
      <c r="F9" s="69">
        <f t="shared" ref="F9:F11" si="0">C9*E9</f>
        <v>5520</v>
      </c>
    </row>
    <row r="10" spans="1:12" ht="15.95" customHeight="1">
      <c r="A10" s="6">
        <v>3</v>
      </c>
      <c r="B10" s="60" t="s">
        <v>762</v>
      </c>
      <c r="C10" s="3">
        <v>20</v>
      </c>
      <c r="D10" s="3" t="s">
        <v>114</v>
      </c>
      <c r="E10" s="69">
        <v>25</v>
      </c>
      <c r="F10" s="69">
        <f t="shared" si="0"/>
        <v>500</v>
      </c>
    </row>
    <row r="11" spans="1:12" ht="15.95" customHeight="1">
      <c r="A11" s="6">
        <v>4</v>
      </c>
      <c r="B11" s="60" t="s">
        <v>760</v>
      </c>
      <c r="C11" s="68">
        <v>6</v>
      </c>
      <c r="D11" s="3" t="s">
        <v>13</v>
      </c>
      <c r="E11" s="69">
        <v>2750</v>
      </c>
      <c r="F11" s="69">
        <f t="shared" si="0"/>
        <v>16500</v>
      </c>
    </row>
    <row r="12" spans="1:12" ht="15.95" customHeight="1">
      <c r="A12" s="6"/>
      <c r="B12" s="60"/>
      <c r="C12" s="68"/>
      <c r="D12" s="68"/>
      <c r="E12" s="69"/>
      <c r="F12" s="69"/>
    </row>
    <row r="13" spans="1:12" ht="15.95" customHeight="1">
      <c r="A13" s="6"/>
      <c r="B13" s="60"/>
      <c r="C13" s="68"/>
      <c r="D13" s="3"/>
      <c r="E13" s="69"/>
      <c r="F13" s="69"/>
    </row>
    <row r="14" spans="1:12" ht="15.95" customHeight="1">
      <c r="A14" s="6"/>
      <c r="B14" s="176"/>
      <c r="C14" s="68"/>
      <c r="D14" s="68"/>
      <c r="E14" s="69"/>
      <c r="F14" s="69"/>
    </row>
    <row r="15" spans="1:12" ht="15.95" customHeight="1">
      <c r="A15" s="6"/>
      <c r="B15" s="114"/>
      <c r="C15" s="68"/>
      <c r="D15" s="68"/>
      <c r="E15" s="69"/>
      <c r="F15" s="69"/>
    </row>
    <row r="16" spans="1:12" ht="15.95" customHeight="1">
      <c r="A16" s="6"/>
      <c r="B16" s="114"/>
      <c r="C16" s="68"/>
      <c r="D16" s="68"/>
      <c r="E16" s="69"/>
      <c r="F16" s="69"/>
    </row>
    <row r="17" spans="1:6" ht="15.95" customHeight="1">
      <c r="A17" s="6"/>
      <c r="B17" s="114"/>
      <c r="C17" s="68"/>
      <c r="D17" s="68"/>
      <c r="E17" s="69"/>
      <c r="F17" s="69"/>
    </row>
    <row r="18" spans="1:6" ht="15.95" customHeight="1">
      <c r="A18" s="6"/>
      <c r="B18" s="114"/>
      <c r="C18" s="68"/>
      <c r="D18" s="68"/>
      <c r="E18" s="69"/>
      <c r="F18" s="69"/>
    </row>
    <row r="19" spans="1:6" ht="15.95" customHeight="1">
      <c r="A19" s="6"/>
      <c r="B19" s="114"/>
      <c r="C19" s="68"/>
      <c r="D19" s="68"/>
      <c r="E19" s="69"/>
      <c r="F19" s="69"/>
    </row>
    <row r="20" spans="1:6" ht="15.95" customHeight="1">
      <c r="A20" s="104"/>
      <c r="B20" s="166"/>
      <c r="C20" s="80"/>
      <c r="D20" s="80"/>
      <c r="E20" s="106"/>
      <c r="F20" s="82"/>
    </row>
    <row r="21" spans="1:6" ht="15.75">
      <c r="A21" s="287" t="s">
        <v>14</v>
      </c>
      <c r="B21" s="288"/>
      <c r="C21" s="288"/>
      <c r="D21" s="288"/>
      <c r="E21" s="289"/>
      <c r="F21" s="173">
        <f>SUM(F8:F20)</f>
        <v>28400</v>
      </c>
    </row>
    <row r="22" spans="1:6" ht="15.75">
      <c r="A22" s="246" t="s">
        <v>15</v>
      </c>
      <c r="B22" s="247"/>
      <c r="C22" s="247"/>
      <c r="D22" s="247"/>
      <c r="E22" s="248"/>
      <c r="F22" s="83">
        <f>+F21*9%</f>
        <v>2556</v>
      </c>
    </row>
    <row r="23" spans="1:6" ht="15.75">
      <c r="A23" s="246" t="s">
        <v>16</v>
      </c>
      <c r="B23" s="247"/>
      <c r="C23" s="247"/>
      <c r="D23" s="247"/>
      <c r="E23" s="248"/>
      <c r="F23" s="83">
        <f>+F21*9%</f>
        <v>2556</v>
      </c>
    </row>
    <row r="24" spans="1:6" ht="17.45" customHeight="1">
      <c r="A24" s="260" t="s">
        <v>17</v>
      </c>
      <c r="B24" s="261"/>
      <c r="C24" s="261"/>
      <c r="D24" s="261"/>
      <c r="E24" s="262"/>
      <c r="F24" s="84">
        <f>SUM(F21:F23)</f>
        <v>33512</v>
      </c>
    </row>
    <row r="25" spans="1:6" ht="33" customHeight="1">
      <c r="A25" s="263" t="s">
        <v>761</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30:F30"/>
    <mergeCell ref="A31:F31"/>
    <mergeCell ref="A27:B27"/>
    <mergeCell ref="C27:F27"/>
    <mergeCell ref="A28:B28"/>
    <mergeCell ref="C28:F28"/>
    <mergeCell ref="A29:B29"/>
    <mergeCell ref="C29:F29"/>
    <mergeCell ref="A22:E22"/>
    <mergeCell ref="A23:E23"/>
    <mergeCell ref="A24:E24"/>
    <mergeCell ref="A25:F25"/>
    <mergeCell ref="A26:B26"/>
    <mergeCell ref="C26:F26"/>
    <mergeCell ref="A21:E21"/>
    <mergeCell ref="B1:F1"/>
    <mergeCell ref="A2:F2"/>
    <mergeCell ref="C3:F3"/>
    <mergeCell ref="C4:F4"/>
    <mergeCell ref="C5:F5"/>
  </mergeCells>
  <phoneticPr fontId="48" type="noConversion"/>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E565-A583-4F16-A649-992758C9847A}">
  <dimension ref="A1:L31"/>
  <sheetViews>
    <sheetView workbookViewId="0">
      <selection activeCell="G10" sqref="G10"/>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12" ht="117" customHeight="1">
      <c r="A1" s="1"/>
      <c r="B1" s="290" t="s">
        <v>0</v>
      </c>
      <c r="C1" s="290"/>
      <c r="D1" s="290"/>
      <c r="E1" s="290"/>
      <c r="F1" s="291"/>
    </row>
    <row r="2" spans="1:12" ht="18" customHeight="1">
      <c r="A2" s="251" t="s">
        <v>6</v>
      </c>
      <c r="B2" s="252"/>
      <c r="C2" s="252"/>
      <c r="D2" s="252"/>
      <c r="E2" s="252"/>
      <c r="F2" s="253"/>
    </row>
    <row r="3" spans="1:12" ht="17.25">
      <c r="A3" s="4" t="s">
        <v>7</v>
      </c>
      <c r="B3" s="5" t="s">
        <v>1</v>
      </c>
      <c r="C3" s="254" t="s">
        <v>735</v>
      </c>
      <c r="D3" s="255"/>
      <c r="E3" s="255"/>
      <c r="F3" s="256"/>
    </row>
    <row r="4" spans="1:12" ht="29.25" customHeight="1">
      <c r="A4" s="6"/>
      <c r="B4" s="7" t="s">
        <v>8</v>
      </c>
      <c r="C4" s="254" t="s">
        <v>708</v>
      </c>
      <c r="D4" s="255"/>
      <c r="E4" s="255"/>
      <c r="F4" s="256"/>
    </row>
    <row r="5" spans="1:12" ht="16.5" customHeight="1">
      <c r="A5" s="8"/>
      <c r="B5" s="2" t="s">
        <v>2</v>
      </c>
      <c r="C5" s="257" t="s">
        <v>9</v>
      </c>
      <c r="D5" s="258"/>
      <c r="E5" s="258"/>
      <c r="F5" s="259"/>
    </row>
    <row r="6" spans="1:12" ht="16.5">
      <c r="A6" s="9" t="s">
        <v>3</v>
      </c>
      <c r="B6" s="9" t="s">
        <v>4</v>
      </c>
      <c r="C6" s="9" t="s">
        <v>5</v>
      </c>
      <c r="D6" s="9" t="s">
        <v>10</v>
      </c>
      <c r="E6" s="9" t="s">
        <v>11</v>
      </c>
      <c r="F6" s="9" t="s">
        <v>12</v>
      </c>
      <c r="L6" s="177"/>
    </row>
    <row r="7" spans="1:12" ht="19.7" customHeight="1">
      <c r="A7" s="52"/>
      <c r="B7" s="59"/>
      <c r="C7" s="75"/>
      <c r="D7" s="75"/>
      <c r="E7" s="74"/>
      <c r="F7" s="74"/>
    </row>
    <row r="8" spans="1:12" ht="15.95" customHeight="1">
      <c r="A8" s="6">
        <v>1</v>
      </c>
      <c r="B8" s="60" t="s">
        <v>726</v>
      </c>
      <c r="C8" s="3">
        <v>3</v>
      </c>
      <c r="D8" s="3" t="s">
        <v>13</v>
      </c>
      <c r="E8" s="69">
        <v>18500</v>
      </c>
      <c r="F8" s="69">
        <f>C8*E8</f>
        <v>55500</v>
      </c>
    </row>
    <row r="9" spans="1:12" ht="15.95" customHeight="1">
      <c r="A9" s="6"/>
      <c r="B9" s="60" t="s">
        <v>727</v>
      </c>
      <c r="C9" s="3"/>
      <c r="D9" s="3"/>
      <c r="E9" s="69"/>
      <c r="F9" s="69"/>
    </row>
    <row r="10" spans="1:12" ht="15.95" customHeight="1">
      <c r="A10" s="6"/>
      <c r="B10" s="176" t="s">
        <v>729</v>
      </c>
      <c r="C10" s="3"/>
      <c r="D10" s="3"/>
      <c r="E10" s="69"/>
      <c r="F10" s="69"/>
    </row>
    <row r="11" spans="1:12" ht="15.95" customHeight="1">
      <c r="A11" s="6"/>
      <c r="B11" s="114" t="s">
        <v>736</v>
      </c>
      <c r="C11" s="68"/>
      <c r="D11" s="68"/>
      <c r="E11" s="69"/>
      <c r="F11" s="69"/>
    </row>
    <row r="12" spans="1:12" ht="15.95" customHeight="1">
      <c r="A12" s="6"/>
      <c r="B12" s="114"/>
      <c r="C12" s="68"/>
      <c r="D12" s="68"/>
      <c r="E12" s="69"/>
      <c r="F12" s="69"/>
    </row>
    <row r="13" spans="1:12" ht="15.95" customHeight="1">
      <c r="A13" s="6">
        <v>2</v>
      </c>
      <c r="B13" s="60" t="s">
        <v>730</v>
      </c>
      <c r="C13" s="68">
        <v>1</v>
      </c>
      <c r="D13" s="3" t="s">
        <v>13</v>
      </c>
      <c r="E13" s="69">
        <v>15500</v>
      </c>
      <c r="F13" s="69">
        <f>C13*E13</f>
        <v>15500</v>
      </c>
    </row>
    <row r="14" spans="1:12" ht="15.95" customHeight="1">
      <c r="A14" s="6"/>
      <c r="B14" s="176" t="s">
        <v>728</v>
      </c>
      <c r="C14" s="68"/>
      <c r="D14" s="68"/>
      <c r="E14" s="69"/>
      <c r="F14" s="69"/>
    </row>
    <row r="15" spans="1:12" ht="15.95" customHeight="1">
      <c r="A15" s="6"/>
      <c r="B15" s="114" t="s">
        <v>731</v>
      </c>
      <c r="C15" s="68"/>
      <c r="D15" s="68"/>
      <c r="E15" s="69"/>
      <c r="F15" s="69"/>
    </row>
    <row r="16" spans="1:12" ht="15.95" customHeight="1">
      <c r="A16" s="6"/>
      <c r="B16" s="114" t="s">
        <v>732</v>
      </c>
      <c r="C16" s="68"/>
      <c r="D16" s="68"/>
      <c r="E16" s="69"/>
      <c r="F16" s="69"/>
    </row>
    <row r="17" spans="1:6" ht="15.95" customHeight="1">
      <c r="A17" s="6"/>
      <c r="B17" s="114" t="s">
        <v>733</v>
      </c>
      <c r="C17" s="68"/>
      <c r="D17" s="68"/>
      <c r="E17" s="69"/>
      <c r="F17" s="69"/>
    </row>
    <row r="18" spans="1:6" ht="15.95" customHeight="1">
      <c r="A18" s="6"/>
      <c r="B18" s="114"/>
      <c r="C18" s="68"/>
      <c r="D18" s="68"/>
      <c r="E18" s="69"/>
      <c r="F18" s="69"/>
    </row>
    <row r="19" spans="1:6" ht="15.95" customHeight="1">
      <c r="A19" s="6"/>
      <c r="B19" s="114"/>
      <c r="C19" s="68"/>
      <c r="D19" s="68"/>
      <c r="E19" s="69"/>
      <c r="F19" s="69"/>
    </row>
    <row r="20" spans="1:6" ht="15.95" customHeight="1">
      <c r="A20" s="104"/>
      <c r="B20" s="166"/>
      <c r="C20" s="80"/>
      <c r="D20" s="80"/>
      <c r="E20" s="106"/>
      <c r="F20" s="82"/>
    </row>
    <row r="21" spans="1:6" ht="15.75">
      <c r="A21" s="287" t="s">
        <v>14</v>
      </c>
      <c r="B21" s="288"/>
      <c r="C21" s="288"/>
      <c r="D21" s="288"/>
      <c r="E21" s="289"/>
      <c r="F21" s="173">
        <f>SUM(F8:F20)</f>
        <v>71000</v>
      </c>
    </row>
    <row r="22" spans="1:6" ht="15.75">
      <c r="A22" s="246" t="s">
        <v>15</v>
      </c>
      <c r="B22" s="247"/>
      <c r="C22" s="247"/>
      <c r="D22" s="247"/>
      <c r="E22" s="248"/>
      <c r="F22" s="83">
        <f>+F21*9%</f>
        <v>6390</v>
      </c>
    </row>
    <row r="23" spans="1:6" ht="15.75">
      <c r="A23" s="246" t="s">
        <v>16</v>
      </c>
      <c r="B23" s="247"/>
      <c r="C23" s="247"/>
      <c r="D23" s="247"/>
      <c r="E23" s="248"/>
      <c r="F23" s="83">
        <f>+F21*9%</f>
        <v>6390</v>
      </c>
    </row>
    <row r="24" spans="1:6" ht="17.45" customHeight="1">
      <c r="A24" s="260" t="s">
        <v>17</v>
      </c>
      <c r="B24" s="261"/>
      <c r="C24" s="261"/>
      <c r="D24" s="261"/>
      <c r="E24" s="262"/>
      <c r="F24" s="84">
        <f>SUM(F21:F23)</f>
        <v>83780</v>
      </c>
    </row>
    <row r="25" spans="1:6" ht="33" customHeight="1">
      <c r="A25" s="263" t="s">
        <v>734</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30:F30"/>
    <mergeCell ref="A31:F31"/>
    <mergeCell ref="A27:B27"/>
    <mergeCell ref="C27:F27"/>
    <mergeCell ref="A28:B28"/>
    <mergeCell ref="C28:F28"/>
    <mergeCell ref="A29:B29"/>
    <mergeCell ref="C29:F29"/>
    <mergeCell ref="A22:E22"/>
    <mergeCell ref="A23:E23"/>
    <mergeCell ref="A24:E24"/>
    <mergeCell ref="A25:F25"/>
    <mergeCell ref="A26:B26"/>
    <mergeCell ref="C26:F26"/>
    <mergeCell ref="A21:E21"/>
    <mergeCell ref="B1:F1"/>
    <mergeCell ref="A2:F2"/>
    <mergeCell ref="C3:F3"/>
    <mergeCell ref="C4:F4"/>
    <mergeCell ref="C5:F5"/>
  </mergeCell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73380-6A17-4962-B035-077387B528E7}">
  <dimension ref="A1:F32"/>
  <sheetViews>
    <sheetView workbookViewId="0">
      <selection activeCell="H13" sqref="H13:H14"/>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720</v>
      </c>
      <c r="D3" s="255"/>
      <c r="E3" s="255"/>
      <c r="F3" s="256"/>
    </row>
    <row r="4" spans="1:6" ht="29.25" customHeight="1">
      <c r="A4" s="6"/>
      <c r="B4" s="7" t="s">
        <v>8</v>
      </c>
      <c r="C4" s="254" t="s">
        <v>708</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9.7" customHeight="1">
      <c r="A7" s="52"/>
      <c r="B7" s="59" t="s">
        <v>721</v>
      </c>
      <c r="C7" s="75"/>
      <c r="D7" s="75"/>
      <c r="E7" s="74"/>
      <c r="F7" s="74"/>
    </row>
    <row r="8" spans="1:6" ht="15.95" customHeight="1">
      <c r="A8" s="6">
        <v>1</v>
      </c>
      <c r="B8" s="60" t="s">
        <v>722</v>
      </c>
      <c r="C8" s="3">
        <v>2</v>
      </c>
      <c r="D8" s="3" t="s">
        <v>723</v>
      </c>
      <c r="E8" s="69">
        <v>900</v>
      </c>
      <c r="F8" s="69">
        <f>C8*E8</f>
        <v>1800</v>
      </c>
    </row>
    <row r="9" spans="1:6" ht="15.95" customHeight="1">
      <c r="A9" s="6">
        <v>2</v>
      </c>
      <c r="B9" s="60" t="s">
        <v>724</v>
      </c>
      <c r="C9" s="3">
        <v>1</v>
      </c>
      <c r="D9" s="3" t="s">
        <v>154</v>
      </c>
      <c r="E9" s="69">
        <v>1750</v>
      </c>
      <c r="F9" s="69">
        <f>C9*E9</f>
        <v>1750</v>
      </c>
    </row>
    <row r="10" spans="1:6" ht="15.95" customHeight="1">
      <c r="A10" s="6"/>
      <c r="B10" s="114"/>
      <c r="C10" s="68"/>
      <c r="D10" s="68"/>
      <c r="E10" s="69"/>
      <c r="F10" s="69"/>
    </row>
    <row r="11" spans="1:6" ht="15.95" customHeight="1">
      <c r="A11" s="6"/>
      <c r="B11" s="114"/>
      <c r="C11" s="68"/>
      <c r="D11" s="68"/>
      <c r="E11" s="69"/>
      <c r="F11" s="69"/>
    </row>
    <row r="12" spans="1:6" ht="15.95" customHeight="1">
      <c r="A12" s="6"/>
      <c r="B12" s="114"/>
      <c r="C12" s="68"/>
      <c r="D12" s="68"/>
      <c r="E12" s="69"/>
      <c r="F12" s="69"/>
    </row>
    <row r="13" spans="1:6" ht="15.95" customHeight="1">
      <c r="A13" s="6"/>
      <c r="B13" s="114"/>
      <c r="C13" s="68"/>
      <c r="D13" s="68"/>
      <c r="E13" s="69"/>
      <c r="F13" s="69"/>
    </row>
    <row r="14" spans="1:6" ht="15.95" customHeight="1">
      <c r="A14" s="6"/>
      <c r="B14" s="114"/>
      <c r="C14" s="68"/>
      <c r="D14" s="68"/>
      <c r="E14" s="69"/>
      <c r="F14" s="69"/>
    </row>
    <row r="15" spans="1:6" ht="15.95" customHeight="1">
      <c r="A15" s="6"/>
      <c r="B15" s="114"/>
      <c r="C15" s="68"/>
      <c r="D15" s="68"/>
      <c r="E15" s="69"/>
      <c r="F15" s="69"/>
    </row>
    <row r="16" spans="1:6" ht="15.95" customHeight="1">
      <c r="A16" s="6"/>
      <c r="B16" s="114"/>
      <c r="C16" s="68"/>
      <c r="D16" s="68"/>
      <c r="E16" s="69"/>
      <c r="F16" s="69"/>
    </row>
    <row r="17" spans="1:6" ht="15.95" customHeight="1">
      <c r="A17" s="6"/>
      <c r="B17" s="114"/>
      <c r="C17" s="68"/>
      <c r="D17" s="68"/>
      <c r="E17" s="69"/>
      <c r="F17" s="69"/>
    </row>
    <row r="18" spans="1:6" ht="15.95" customHeight="1">
      <c r="A18" s="6"/>
      <c r="B18" s="114"/>
      <c r="C18" s="68"/>
      <c r="D18" s="68"/>
      <c r="E18" s="69"/>
      <c r="F18" s="69"/>
    </row>
    <row r="19" spans="1:6" ht="15.95" customHeight="1">
      <c r="A19" s="6"/>
      <c r="B19" s="114"/>
      <c r="C19" s="68"/>
      <c r="D19" s="68"/>
      <c r="E19" s="69"/>
      <c r="F19" s="69"/>
    </row>
    <row r="20" spans="1:6" ht="15.95" customHeight="1">
      <c r="A20" s="6"/>
      <c r="B20" s="114"/>
      <c r="C20" s="68"/>
      <c r="D20" s="68"/>
      <c r="E20" s="69"/>
      <c r="F20" s="69"/>
    </row>
    <row r="21" spans="1:6" ht="15.95" customHeight="1">
      <c r="A21" s="104"/>
      <c r="B21" s="166"/>
      <c r="C21" s="80"/>
      <c r="D21" s="80"/>
      <c r="E21" s="106"/>
      <c r="F21" s="82"/>
    </row>
    <row r="22" spans="1:6" ht="15.75">
      <c r="A22" s="287" t="s">
        <v>14</v>
      </c>
      <c r="B22" s="288"/>
      <c r="C22" s="288"/>
      <c r="D22" s="288"/>
      <c r="E22" s="289"/>
      <c r="F22" s="173">
        <f>SUM(F8:F21)</f>
        <v>3550</v>
      </c>
    </row>
    <row r="23" spans="1:6" ht="15.75">
      <c r="A23" s="246" t="s">
        <v>15</v>
      </c>
      <c r="B23" s="247"/>
      <c r="C23" s="247"/>
      <c r="D23" s="247"/>
      <c r="E23" s="248"/>
      <c r="F23" s="83">
        <f>+F22*9%</f>
        <v>319.5</v>
      </c>
    </row>
    <row r="24" spans="1:6" ht="15.75">
      <c r="A24" s="246" t="s">
        <v>16</v>
      </c>
      <c r="B24" s="247"/>
      <c r="C24" s="247"/>
      <c r="D24" s="247"/>
      <c r="E24" s="248"/>
      <c r="F24" s="83">
        <f>+F22*9%</f>
        <v>319.5</v>
      </c>
    </row>
    <row r="25" spans="1:6" ht="17.45" customHeight="1">
      <c r="A25" s="260" t="s">
        <v>17</v>
      </c>
      <c r="B25" s="261"/>
      <c r="C25" s="261"/>
      <c r="D25" s="261"/>
      <c r="E25" s="262"/>
      <c r="F25" s="84">
        <f>SUM(F22:F24)</f>
        <v>4189</v>
      </c>
    </row>
    <row r="26" spans="1:6" ht="33" customHeight="1">
      <c r="A26" s="263" t="s">
        <v>725</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0">
    <mergeCell ref="A31:F31"/>
    <mergeCell ref="A32:F32"/>
    <mergeCell ref="A28:B28"/>
    <mergeCell ref="C28:F28"/>
    <mergeCell ref="A29:B29"/>
    <mergeCell ref="C29:F29"/>
    <mergeCell ref="A30:B30"/>
    <mergeCell ref="C30:F30"/>
    <mergeCell ref="A23:E23"/>
    <mergeCell ref="A24:E24"/>
    <mergeCell ref="A25:E25"/>
    <mergeCell ref="A26:F26"/>
    <mergeCell ref="A27:B27"/>
    <mergeCell ref="C27:F27"/>
    <mergeCell ref="A22:E22"/>
    <mergeCell ref="B1:F1"/>
    <mergeCell ref="A2:F2"/>
    <mergeCell ref="C3:F3"/>
    <mergeCell ref="C4:F4"/>
    <mergeCell ref="C5:F5"/>
  </mergeCells>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9970-BBBB-4FE6-A1D1-F8C8B530B7E1}">
  <dimension ref="A1:F32"/>
  <sheetViews>
    <sheetView workbookViewId="0">
      <selection activeCell="J2" sqref="J2"/>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707</v>
      </c>
      <c r="D3" s="255"/>
      <c r="E3" s="255"/>
      <c r="F3" s="256"/>
    </row>
    <row r="4" spans="1:6" ht="29.25" customHeight="1">
      <c r="A4" s="6"/>
      <c r="B4" s="7" t="s">
        <v>8</v>
      </c>
      <c r="C4" s="254" t="s">
        <v>708</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9.7" customHeight="1">
      <c r="A7" s="74"/>
      <c r="B7" s="87"/>
      <c r="C7" s="75"/>
      <c r="D7" s="75"/>
      <c r="E7" s="74"/>
      <c r="F7" s="74"/>
    </row>
    <row r="8" spans="1:6" ht="15.95" customHeight="1">
      <c r="A8" s="150">
        <v>1</v>
      </c>
      <c r="B8" s="174" t="s">
        <v>709</v>
      </c>
      <c r="C8" s="68">
        <v>1</v>
      </c>
      <c r="D8" s="68" t="s">
        <v>154</v>
      </c>
      <c r="E8" s="69">
        <v>18500</v>
      </c>
      <c r="F8" s="69">
        <f>C8*E8</f>
        <v>18500</v>
      </c>
    </row>
    <row r="9" spans="1:6" ht="15.95" customHeight="1">
      <c r="A9" s="6"/>
      <c r="B9" s="175" t="s">
        <v>435</v>
      </c>
      <c r="C9" s="68"/>
      <c r="D9" s="68"/>
      <c r="E9" s="69"/>
      <c r="F9" s="69"/>
    </row>
    <row r="10" spans="1:6" ht="15.95" customHeight="1">
      <c r="A10" s="6"/>
      <c r="B10" s="114" t="s">
        <v>710</v>
      </c>
      <c r="C10" s="68"/>
      <c r="D10" s="68"/>
      <c r="E10" s="69"/>
      <c r="F10" s="69"/>
    </row>
    <row r="11" spans="1:6" ht="15.95" customHeight="1">
      <c r="A11" s="6"/>
      <c r="B11" s="114" t="s">
        <v>711</v>
      </c>
      <c r="C11" s="68"/>
      <c r="D11" s="68"/>
      <c r="E11" s="69"/>
      <c r="F11" s="69"/>
    </row>
    <row r="12" spans="1:6" ht="15.95" customHeight="1">
      <c r="A12" s="6"/>
      <c r="B12" s="114" t="s">
        <v>712</v>
      </c>
      <c r="C12" s="68"/>
      <c r="D12" s="68"/>
      <c r="E12" s="69"/>
      <c r="F12" s="69"/>
    </row>
    <row r="13" spans="1:6" ht="15.95" customHeight="1">
      <c r="A13" s="6"/>
      <c r="B13" s="114" t="s">
        <v>713</v>
      </c>
      <c r="C13" s="68"/>
      <c r="D13" s="68"/>
      <c r="E13" s="69"/>
      <c r="F13" s="69"/>
    </row>
    <row r="14" spans="1:6" ht="15.95" customHeight="1">
      <c r="A14" s="6"/>
      <c r="B14" s="114" t="s">
        <v>714</v>
      </c>
      <c r="C14" s="68"/>
      <c r="D14" s="68"/>
      <c r="E14" s="69"/>
      <c r="F14" s="69"/>
    </row>
    <row r="15" spans="1:6" ht="15.95" customHeight="1">
      <c r="A15" s="6"/>
      <c r="B15" s="114" t="s">
        <v>715</v>
      </c>
      <c r="C15" s="68"/>
      <c r="D15" s="68"/>
      <c r="E15" s="69"/>
      <c r="F15" s="69"/>
    </row>
    <row r="16" spans="1:6" ht="15.95" customHeight="1">
      <c r="A16" s="6"/>
      <c r="B16" s="114" t="s">
        <v>716</v>
      </c>
      <c r="C16" s="68"/>
      <c r="D16" s="68"/>
      <c r="E16" s="69"/>
      <c r="F16" s="69"/>
    </row>
    <row r="17" spans="1:6" ht="15.95" customHeight="1">
      <c r="A17" s="6"/>
      <c r="B17" s="114" t="s">
        <v>717</v>
      </c>
      <c r="C17" s="68"/>
      <c r="D17" s="68"/>
      <c r="E17" s="69"/>
      <c r="F17" s="69"/>
    </row>
    <row r="18" spans="1:6" ht="15.95" customHeight="1">
      <c r="A18" s="6"/>
      <c r="B18" s="114" t="s">
        <v>718</v>
      </c>
      <c r="C18" s="68"/>
      <c r="D18" s="68"/>
      <c r="E18" s="69"/>
      <c r="F18" s="69"/>
    </row>
    <row r="19" spans="1:6" ht="15.95" customHeight="1">
      <c r="A19" s="6"/>
      <c r="B19" s="114" t="s">
        <v>507</v>
      </c>
      <c r="C19" s="68"/>
      <c r="D19" s="68"/>
      <c r="E19" s="69"/>
      <c r="F19" s="69"/>
    </row>
    <row r="20" spans="1:6" ht="15.95" customHeight="1">
      <c r="A20" s="6"/>
      <c r="B20" s="114"/>
      <c r="C20" s="68"/>
      <c r="D20" s="68"/>
      <c r="E20" s="69"/>
      <c r="F20" s="69"/>
    </row>
    <row r="21" spans="1:6" ht="15.95" customHeight="1">
      <c r="A21" s="104"/>
      <c r="B21" s="166"/>
      <c r="C21" s="80"/>
      <c r="D21" s="80"/>
      <c r="E21" s="106"/>
      <c r="F21" s="82"/>
    </row>
    <row r="22" spans="1:6" ht="15.75">
      <c r="A22" s="287" t="s">
        <v>14</v>
      </c>
      <c r="B22" s="288"/>
      <c r="C22" s="288"/>
      <c r="D22" s="288"/>
      <c r="E22" s="289"/>
      <c r="F22" s="173">
        <f>SUM(F8:F21)</f>
        <v>18500</v>
      </c>
    </row>
    <row r="23" spans="1:6" ht="15.75">
      <c r="A23" s="246" t="s">
        <v>15</v>
      </c>
      <c r="B23" s="247"/>
      <c r="C23" s="247"/>
      <c r="D23" s="247"/>
      <c r="E23" s="248"/>
      <c r="F23" s="83">
        <f>+F22*9%</f>
        <v>1665</v>
      </c>
    </row>
    <row r="24" spans="1:6" ht="15.75">
      <c r="A24" s="246" t="s">
        <v>16</v>
      </c>
      <c r="B24" s="247"/>
      <c r="C24" s="247"/>
      <c r="D24" s="247"/>
      <c r="E24" s="248"/>
      <c r="F24" s="83">
        <f>+F22*9%</f>
        <v>1665</v>
      </c>
    </row>
    <row r="25" spans="1:6" ht="17.45" customHeight="1">
      <c r="A25" s="260" t="s">
        <v>17</v>
      </c>
      <c r="B25" s="261"/>
      <c r="C25" s="261"/>
      <c r="D25" s="261"/>
      <c r="E25" s="262"/>
      <c r="F25" s="84">
        <f>SUM(F22:F24)</f>
        <v>21830</v>
      </c>
    </row>
    <row r="26" spans="1:6" ht="33" customHeight="1">
      <c r="A26" s="263" t="s">
        <v>719</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0">
    <mergeCell ref="A31:F31"/>
    <mergeCell ref="A32:F32"/>
    <mergeCell ref="A28:B28"/>
    <mergeCell ref="C28:F28"/>
    <mergeCell ref="A29:B29"/>
    <mergeCell ref="C29:F29"/>
    <mergeCell ref="A30:B30"/>
    <mergeCell ref="C30:F30"/>
    <mergeCell ref="A23:E23"/>
    <mergeCell ref="A24:E24"/>
    <mergeCell ref="A25:E25"/>
    <mergeCell ref="A26:F26"/>
    <mergeCell ref="A27:B27"/>
    <mergeCell ref="C27:F27"/>
    <mergeCell ref="A22:E22"/>
    <mergeCell ref="B1:F1"/>
    <mergeCell ref="A2:F2"/>
    <mergeCell ref="C3:F3"/>
    <mergeCell ref="C4:F4"/>
    <mergeCell ref="C5:F5"/>
  </mergeCells>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BC34-B91A-4A5E-AFA6-180B06098F1B}">
  <dimension ref="A1:F32"/>
  <sheetViews>
    <sheetView topLeftCell="A7" workbookViewId="0">
      <selection activeCell="E37" sqref="E37"/>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695</v>
      </c>
      <c r="D3" s="255"/>
      <c r="E3" s="255"/>
      <c r="F3" s="256"/>
    </row>
    <row r="4" spans="1:6" ht="29.25" customHeight="1">
      <c r="A4" s="6"/>
      <c r="B4" s="7" t="s">
        <v>8</v>
      </c>
      <c r="C4" s="254" t="s">
        <v>696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9.7" customHeight="1">
      <c r="A7" s="74"/>
      <c r="B7" s="87" t="s">
        <v>385</v>
      </c>
      <c r="C7" s="75"/>
      <c r="D7" s="75"/>
      <c r="E7" s="74"/>
      <c r="F7" s="74"/>
    </row>
    <row r="8" spans="1:6" ht="15.95" customHeight="1">
      <c r="A8" s="74">
        <v>1</v>
      </c>
      <c r="B8" s="167" t="s">
        <v>701</v>
      </c>
      <c r="C8" s="3">
        <v>1</v>
      </c>
      <c r="D8" s="3" t="s">
        <v>154</v>
      </c>
      <c r="E8" s="12">
        <v>22500</v>
      </c>
      <c r="F8" s="12">
        <f>C8*E8</f>
        <v>22500</v>
      </c>
    </row>
    <row r="9" spans="1:6" ht="15.95" customHeight="1">
      <c r="A9" s="74"/>
      <c r="B9" s="167" t="s">
        <v>700</v>
      </c>
      <c r="C9" s="75"/>
      <c r="D9" s="3"/>
      <c r="E9" s="12"/>
      <c r="F9" s="12"/>
    </row>
    <row r="10" spans="1:6" ht="17.649999999999999" customHeight="1">
      <c r="A10" s="74"/>
      <c r="B10" s="167" t="s">
        <v>697</v>
      </c>
      <c r="C10" s="75"/>
      <c r="D10" s="75"/>
      <c r="E10" s="74"/>
      <c r="F10" s="74"/>
    </row>
    <row r="11" spans="1:6" ht="11.65" customHeight="1">
      <c r="A11" s="74"/>
      <c r="B11" s="167"/>
      <c r="C11" s="75"/>
      <c r="D11" s="75"/>
      <c r="E11" s="74"/>
      <c r="F11" s="74"/>
    </row>
    <row r="12" spans="1:6" ht="15.95" customHeight="1">
      <c r="A12" s="74">
        <v>2</v>
      </c>
      <c r="B12" s="86" t="s">
        <v>698</v>
      </c>
      <c r="C12" s="3">
        <v>1</v>
      </c>
      <c r="D12" s="3" t="s">
        <v>154</v>
      </c>
      <c r="E12" s="12">
        <v>5750</v>
      </c>
      <c r="F12" s="12">
        <f>C12*E12</f>
        <v>5750</v>
      </c>
    </row>
    <row r="13" spans="1:6" ht="15.95" customHeight="1">
      <c r="A13" s="6"/>
      <c r="B13" s="85" t="s">
        <v>699</v>
      </c>
      <c r="C13" s="68"/>
      <c r="D13" s="68"/>
      <c r="E13" s="69"/>
      <c r="F13" s="69"/>
    </row>
    <row r="14" spans="1:6" ht="11.65" customHeight="1">
      <c r="A14" s="6"/>
      <c r="B14" s="86"/>
      <c r="C14" s="68"/>
      <c r="D14" s="68"/>
      <c r="E14" s="69"/>
      <c r="F14" s="69"/>
    </row>
    <row r="15" spans="1:6" ht="15.95" customHeight="1">
      <c r="A15" s="6">
        <v>3</v>
      </c>
      <c r="B15" s="86" t="s">
        <v>702</v>
      </c>
      <c r="C15" s="3">
        <v>1</v>
      </c>
      <c r="D15" s="3" t="s">
        <v>60</v>
      </c>
      <c r="E15" s="12">
        <v>5500</v>
      </c>
      <c r="F15" s="12">
        <f>C15*E15</f>
        <v>5500</v>
      </c>
    </row>
    <row r="16" spans="1:6" ht="15.95" customHeight="1">
      <c r="A16" s="6"/>
      <c r="B16" s="85" t="s">
        <v>703</v>
      </c>
      <c r="C16" s="68"/>
      <c r="D16" s="68"/>
      <c r="E16" s="69"/>
      <c r="F16" s="69"/>
    </row>
    <row r="17" spans="1:6" ht="15.95" customHeight="1">
      <c r="A17" s="6"/>
      <c r="B17" s="86"/>
      <c r="C17" s="68"/>
      <c r="D17" s="68"/>
      <c r="E17" s="69"/>
      <c r="F17" s="69"/>
    </row>
    <row r="18" spans="1:6" ht="15.95" customHeight="1">
      <c r="A18" s="6">
        <v>4</v>
      </c>
      <c r="B18" s="86" t="s">
        <v>704</v>
      </c>
      <c r="C18" s="3">
        <v>10</v>
      </c>
      <c r="D18" s="3" t="s">
        <v>60</v>
      </c>
      <c r="E18" s="12">
        <v>100</v>
      </c>
      <c r="F18" s="12">
        <f>C18*E18</f>
        <v>1000</v>
      </c>
    </row>
    <row r="19" spans="1:6" ht="15.95" customHeight="1">
      <c r="A19" s="6"/>
      <c r="B19" s="86"/>
      <c r="C19" s="68"/>
      <c r="D19" s="68"/>
      <c r="E19" s="69"/>
      <c r="F19" s="69"/>
    </row>
    <row r="20" spans="1:6" ht="15.95" customHeight="1">
      <c r="A20" s="6">
        <v>5</v>
      </c>
      <c r="B20" s="86" t="s">
        <v>705</v>
      </c>
      <c r="C20" s="3">
        <v>25</v>
      </c>
      <c r="D20" s="3" t="s">
        <v>60</v>
      </c>
      <c r="E20" s="12">
        <v>7</v>
      </c>
      <c r="F20" s="12">
        <f>C20*E20</f>
        <v>175</v>
      </c>
    </row>
    <row r="21" spans="1:6" ht="15.95" customHeight="1">
      <c r="A21" s="104"/>
      <c r="B21" s="166"/>
      <c r="C21" s="80"/>
      <c r="D21" s="80"/>
      <c r="E21" s="106"/>
      <c r="F21" s="82"/>
    </row>
    <row r="22" spans="1:6" ht="15.75">
      <c r="A22" s="287" t="s">
        <v>14</v>
      </c>
      <c r="B22" s="288"/>
      <c r="C22" s="288"/>
      <c r="D22" s="288"/>
      <c r="E22" s="289"/>
      <c r="F22" s="173">
        <f>SUM(F8:F21)</f>
        <v>34925</v>
      </c>
    </row>
    <row r="23" spans="1:6" ht="15.75">
      <c r="A23" s="246" t="s">
        <v>15</v>
      </c>
      <c r="B23" s="247"/>
      <c r="C23" s="247"/>
      <c r="D23" s="247"/>
      <c r="E23" s="248"/>
      <c r="F23" s="83">
        <f>+F22*9%</f>
        <v>3143.25</v>
      </c>
    </row>
    <row r="24" spans="1:6" ht="15.75">
      <c r="A24" s="246" t="s">
        <v>16</v>
      </c>
      <c r="B24" s="247"/>
      <c r="C24" s="247"/>
      <c r="D24" s="247"/>
      <c r="E24" s="248"/>
      <c r="F24" s="83">
        <f>+F22*9%</f>
        <v>3143.25</v>
      </c>
    </row>
    <row r="25" spans="1:6" ht="17.45" customHeight="1">
      <c r="A25" s="260" t="s">
        <v>17</v>
      </c>
      <c r="B25" s="261"/>
      <c r="C25" s="261"/>
      <c r="D25" s="261"/>
      <c r="E25" s="262"/>
      <c r="F25" s="84">
        <f>SUM(F22:F24)</f>
        <v>41211.5</v>
      </c>
    </row>
    <row r="26" spans="1:6" ht="33" customHeight="1">
      <c r="A26" s="263" t="s">
        <v>706</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0">
    <mergeCell ref="A22:E22"/>
    <mergeCell ref="B1:F1"/>
    <mergeCell ref="A2:F2"/>
    <mergeCell ref="C3:F3"/>
    <mergeCell ref="C4:F4"/>
    <mergeCell ref="C5:F5"/>
    <mergeCell ref="A23:E23"/>
    <mergeCell ref="A24:E24"/>
    <mergeCell ref="A25:E25"/>
    <mergeCell ref="A26:F26"/>
    <mergeCell ref="A27:B27"/>
    <mergeCell ref="C27:F27"/>
    <mergeCell ref="A31:F31"/>
    <mergeCell ref="A32:F32"/>
    <mergeCell ref="A28:B28"/>
    <mergeCell ref="C28:F28"/>
    <mergeCell ref="A29:B29"/>
    <mergeCell ref="C29:F29"/>
    <mergeCell ref="A30:B30"/>
    <mergeCell ref="C30:F30"/>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9E42-B334-4CAD-A324-439C68FE69C3}">
  <dimension ref="A1:F26"/>
  <sheetViews>
    <sheetView topLeftCell="A4" workbookViewId="0">
      <selection activeCell="J25" sqref="J25"/>
    </sheetView>
  </sheetViews>
  <sheetFormatPr defaultRowHeight="15"/>
  <cols>
    <col min="1" max="1" width="5.28515625" customWidth="1"/>
    <col min="2" max="2" width="42.28515625" customWidth="1"/>
    <col min="3" max="3" width="8.5703125" customWidth="1"/>
    <col min="4" max="4" width="6.85546875" customWidth="1"/>
    <col min="5" max="5" width="10.7109375" customWidth="1"/>
    <col min="6" max="6" width="12.14062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694</v>
      </c>
      <c r="D3" s="255"/>
      <c r="E3" s="255"/>
      <c r="F3" s="256"/>
    </row>
    <row r="4" spans="1:6" ht="29.25" customHeight="1">
      <c r="A4" s="6"/>
      <c r="B4" s="7" t="s">
        <v>8</v>
      </c>
      <c r="C4" s="254" t="s">
        <v>676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0.45" customHeight="1">
      <c r="A7" s="9"/>
      <c r="B7" s="168"/>
      <c r="C7" s="9"/>
      <c r="D7" s="9"/>
      <c r="E7" s="9"/>
      <c r="F7" s="9"/>
    </row>
    <row r="8" spans="1:6" ht="15.95" customHeight="1">
      <c r="A8" s="172">
        <v>1</v>
      </c>
      <c r="B8" s="169" t="s">
        <v>684</v>
      </c>
      <c r="C8" s="171">
        <v>5</v>
      </c>
      <c r="D8" s="171" t="s">
        <v>685</v>
      </c>
      <c r="E8" s="170">
        <v>610</v>
      </c>
      <c r="F8" s="170">
        <f>C8*E8</f>
        <v>3050</v>
      </c>
    </row>
    <row r="9" spans="1:6" ht="15.95" customHeight="1">
      <c r="A9" s="172">
        <v>2</v>
      </c>
      <c r="B9" s="169" t="s">
        <v>686</v>
      </c>
      <c r="C9" s="171">
        <v>6</v>
      </c>
      <c r="D9" s="171" t="s">
        <v>685</v>
      </c>
      <c r="E9" s="170">
        <v>795</v>
      </c>
      <c r="F9" s="170">
        <f t="shared" ref="F9:F15" si="0">C9*E9</f>
        <v>4770</v>
      </c>
    </row>
    <row r="10" spans="1:6" ht="15.95" customHeight="1">
      <c r="A10" s="172">
        <v>3</v>
      </c>
      <c r="B10" s="169" t="s">
        <v>687</v>
      </c>
      <c r="C10" s="171">
        <v>100</v>
      </c>
      <c r="D10" s="171" t="s">
        <v>685</v>
      </c>
      <c r="E10" s="170">
        <v>32</v>
      </c>
      <c r="F10" s="170">
        <f t="shared" si="0"/>
        <v>3200</v>
      </c>
    </row>
    <row r="11" spans="1:6" ht="15.95" customHeight="1">
      <c r="A11" s="172">
        <v>4</v>
      </c>
      <c r="B11" s="169" t="s">
        <v>688</v>
      </c>
      <c r="C11" s="171">
        <v>1</v>
      </c>
      <c r="D11" s="171" t="s">
        <v>685</v>
      </c>
      <c r="E11" s="170">
        <v>1330</v>
      </c>
      <c r="F11" s="170">
        <f t="shared" si="0"/>
        <v>1330</v>
      </c>
    </row>
    <row r="12" spans="1:6" ht="15.95" customHeight="1">
      <c r="A12" s="172">
        <v>5</v>
      </c>
      <c r="B12" s="169" t="s">
        <v>689</v>
      </c>
      <c r="C12" s="171">
        <v>20</v>
      </c>
      <c r="D12" s="171" t="s">
        <v>685</v>
      </c>
      <c r="E12" s="170">
        <v>1840</v>
      </c>
      <c r="F12" s="170">
        <f t="shared" si="0"/>
        <v>36800</v>
      </c>
    </row>
    <row r="13" spans="1:6" ht="15.95" customHeight="1">
      <c r="A13" s="172">
        <v>6</v>
      </c>
      <c r="B13" s="169" t="s">
        <v>690</v>
      </c>
      <c r="C13" s="171">
        <v>3</v>
      </c>
      <c r="D13" s="171" t="s">
        <v>685</v>
      </c>
      <c r="E13" s="170">
        <v>1800</v>
      </c>
      <c r="F13" s="170">
        <f t="shared" si="0"/>
        <v>5400</v>
      </c>
    </row>
    <row r="14" spans="1:6" ht="15.95" customHeight="1">
      <c r="A14" s="172">
        <v>7</v>
      </c>
      <c r="B14" s="169" t="s">
        <v>691</v>
      </c>
      <c r="C14" s="171">
        <v>1000</v>
      </c>
      <c r="D14" s="171" t="s">
        <v>685</v>
      </c>
      <c r="E14" s="170">
        <v>6</v>
      </c>
      <c r="F14" s="170">
        <f t="shared" si="0"/>
        <v>6000</v>
      </c>
    </row>
    <row r="15" spans="1:6" ht="15.95" customHeight="1">
      <c r="A15" s="172">
        <v>8</v>
      </c>
      <c r="B15" s="169" t="s">
        <v>692</v>
      </c>
      <c r="C15" s="171">
        <v>50</v>
      </c>
      <c r="D15" s="171" t="s">
        <v>685</v>
      </c>
      <c r="E15" s="170">
        <v>38</v>
      </c>
      <c r="F15" s="170">
        <f t="shared" si="0"/>
        <v>1900</v>
      </c>
    </row>
    <row r="16" spans="1:6" ht="15.75">
      <c r="A16" s="246" t="s">
        <v>14</v>
      </c>
      <c r="B16" s="247"/>
      <c r="C16" s="247"/>
      <c r="D16" s="247"/>
      <c r="E16" s="248"/>
      <c r="F16" s="83">
        <f>SUM(F8:F15)</f>
        <v>62450</v>
      </c>
    </row>
    <row r="17" spans="1:6" ht="15.75">
      <c r="A17" s="246" t="s">
        <v>15</v>
      </c>
      <c r="B17" s="247"/>
      <c r="C17" s="247"/>
      <c r="D17" s="247"/>
      <c r="E17" s="248"/>
      <c r="F17" s="83">
        <f>+F16*9%</f>
        <v>5620.5</v>
      </c>
    </row>
    <row r="18" spans="1:6" ht="15.75">
      <c r="A18" s="246" t="s">
        <v>16</v>
      </c>
      <c r="B18" s="247"/>
      <c r="C18" s="247"/>
      <c r="D18" s="247"/>
      <c r="E18" s="248"/>
      <c r="F18" s="83">
        <f>+F16*9%</f>
        <v>5620.5</v>
      </c>
    </row>
    <row r="19" spans="1:6" ht="17.45" customHeight="1">
      <c r="A19" s="260" t="s">
        <v>17</v>
      </c>
      <c r="B19" s="261"/>
      <c r="C19" s="261"/>
      <c r="D19" s="261"/>
      <c r="E19" s="262"/>
      <c r="F19" s="84">
        <f>SUM(F16:F18)</f>
        <v>73691</v>
      </c>
    </row>
    <row r="20" spans="1:6" ht="33" customHeight="1">
      <c r="A20" s="263" t="s">
        <v>693</v>
      </c>
      <c r="B20" s="264"/>
      <c r="C20" s="264"/>
      <c r="D20" s="264"/>
      <c r="E20" s="264"/>
      <c r="F20" s="265"/>
    </row>
    <row r="21" spans="1:6" ht="15" customHeight="1">
      <c r="A21" s="266" t="s">
        <v>18</v>
      </c>
      <c r="B21" s="267"/>
      <c r="C21" s="268" t="s">
        <v>19</v>
      </c>
      <c r="D21" s="269"/>
      <c r="E21" s="269"/>
      <c r="F21" s="270"/>
    </row>
    <row r="22" spans="1:6" ht="15" customHeight="1">
      <c r="A22" s="277" t="s">
        <v>20</v>
      </c>
      <c r="B22" s="278"/>
      <c r="C22" s="279" t="s">
        <v>21</v>
      </c>
      <c r="D22" s="278"/>
      <c r="E22" s="278"/>
      <c r="F22" s="280"/>
    </row>
    <row r="23" spans="1:6" ht="15" customHeight="1">
      <c r="A23" s="277" t="s">
        <v>22</v>
      </c>
      <c r="B23" s="278"/>
      <c r="C23" s="279" t="s">
        <v>23</v>
      </c>
      <c r="D23" s="278"/>
      <c r="E23" s="278"/>
      <c r="F23" s="280"/>
    </row>
    <row r="24" spans="1:6" ht="15" customHeight="1">
      <c r="A24" s="284" t="s">
        <v>24</v>
      </c>
      <c r="B24" s="285"/>
      <c r="C24" s="284" t="s">
        <v>25</v>
      </c>
      <c r="D24" s="285"/>
      <c r="E24" s="285"/>
      <c r="F24" s="286"/>
    </row>
    <row r="25" spans="1:6" ht="27" customHeight="1">
      <c r="A25" s="271" t="s">
        <v>26</v>
      </c>
      <c r="B25" s="272"/>
      <c r="C25" s="272"/>
      <c r="D25" s="272"/>
      <c r="E25" s="272"/>
      <c r="F25" s="273"/>
    </row>
    <row r="26" spans="1:6" ht="26.45" customHeight="1">
      <c r="A26" s="274" t="s">
        <v>27</v>
      </c>
      <c r="B26" s="275"/>
      <c r="C26" s="275"/>
      <c r="D26" s="275"/>
      <c r="E26" s="275"/>
      <c r="F26" s="276"/>
    </row>
  </sheetData>
  <mergeCells count="20">
    <mergeCell ref="A25:F25"/>
    <mergeCell ref="A26:F26"/>
    <mergeCell ref="A22:B22"/>
    <mergeCell ref="C22:F22"/>
    <mergeCell ref="A23:B23"/>
    <mergeCell ref="C23:F23"/>
    <mergeCell ref="A24:B24"/>
    <mergeCell ref="C24:F24"/>
    <mergeCell ref="A17:E17"/>
    <mergeCell ref="A18:E18"/>
    <mergeCell ref="A19:E19"/>
    <mergeCell ref="A20:F20"/>
    <mergeCell ref="A21:B21"/>
    <mergeCell ref="C21:F21"/>
    <mergeCell ref="A16:E16"/>
    <mergeCell ref="B1:F1"/>
    <mergeCell ref="A2:F2"/>
    <mergeCell ref="C3:F3"/>
    <mergeCell ref="C4:F4"/>
    <mergeCell ref="C5:F5"/>
  </mergeCell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BD24-B803-4EB1-A6D9-FFCB1E110C97}">
  <dimension ref="A1:F25"/>
  <sheetViews>
    <sheetView workbookViewId="0">
      <selection activeCell="I13" sqref="I13"/>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682</v>
      </c>
      <c r="D3" s="255"/>
      <c r="E3" s="255"/>
      <c r="F3" s="256"/>
    </row>
    <row r="4" spans="1:6" ht="29.25" customHeight="1">
      <c r="A4" s="6"/>
      <c r="B4" s="7" t="s">
        <v>8</v>
      </c>
      <c r="C4" s="254" t="s">
        <v>676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9.25" customHeight="1">
      <c r="A7" s="74"/>
      <c r="B7" s="87"/>
      <c r="C7" s="75"/>
      <c r="D7" s="75"/>
      <c r="E7" s="74"/>
      <c r="F7" s="74"/>
    </row>
    <row r="8" spans="1:6" ht="15.95" customHeight="1">
      <c r="A8" s="74">
        <v>1</v>
      </c>
      <c r="B8" s="167" t="s">
        <v>680</v>
      </c>
      <c r="C8" s="3">
        <v>1</v>
      </c>
      <c r="D8" s="3" t="s">
        <v>13</v>
      </c>
      <c r="E8" s="12">
        <v>11000</v>
      </c>
      <c r="F8" s="12">
        <f>C8*E8</f>
        <v>11000</v>
      </c>
    </row>
    <row r="9" spans="1:6" ht="15.95" customHeight="1">
      <c r="A9" s="74">
        <v>2</v>
      </c>
      <c r="B9" s="167" t="s">
        <v>681</v>
      </c>
      <c r="C9" s="75">
        <v>1</v>
      </c>
      <c r="D9" s="3" t="s">
        <v>13</v>
      </c>
      <c r="E9" s="12">
        <v>23100</v>
      </c>
      <c r="F9" s="12">
        <f>C9*E9</f>
        <v>23100</v>
      </c>
    </row>
    <row r="10" spans="1:6" ht="15.95" customHeight="1">
      <c r="A10" s="74"/>
      <c r="B10" s="74"/>
      <c r="C10" s="75"/>
      <c r="D10" s="75"/>
      <c r="E10" s="74"/>
      <c r="F10" s="74"/>
    </row>
    <row r="11" spans="1:6" ht="15.95" customHeight="1">
      <c r="A11" s="74"/>
      <c r="B11" s="86"/>
      <c r="C11" s="75"/>
      <c r="D11" s="75"/>
      <c r="E11" s="74"/>
      <c r="F11" s="74"/>
    </row>
    <row r="12" spans="1:6" ht="15.95" customHeight="1">
      <c r="A12" s="6"/>
      <c r="B12" s="85"/>
      <c r="C12" s="68"/>
      <c r="D12" s="68"/>
      <c r="E12" s="69"/>
      <c r="F12" s="69"/>
    </row>
    <row r="13" spans="1:6" ht="15.95" customHeight="1">
      <c r="A13" s="6"/>
      <c r="B13" s="86"/>
      <c r="C13" s="68"/>
      <c r="D13" s="68"/>
      <c r="E13" s="69"/>
      <c r="F13" s="69"/>
    </row>
    <row r="14" spans="1:6" ht="15.95" customHeight="1">
      <c r="A14" s="104"/>
      <c r="B14" s="166"/>
      <c r="C14" s="80"/>
      <c r="D14" s="80"/>
      <c r="E14" s="106"/>
      <c r="F14" s="82"/>
    </row>
    <row r="15" spans="1:6" ht="15.75">
      <c r="A15" s="246" t="s">
        <v>14</v>
      </c>
      <c r="B15" s="247"/>
      <c r="C15" s="247"/>
      <c r="D15" s="247"/>
      <c r="E15" s="248"/>
      <c r="F15" s="83">
        <f>SUM(F8:F14)</f>
        <v>34100</v>
      </c>
    </row>
    <row r="16" spans="1:6" ht="15.75">
      <c r="A16" s="246" t="s">
        <v>15</v>
      </c>
      <c r="B16" s="247"/>
      <c r="C16" s="247"/>
      <c r="D16" s="247"/>
      <c r="E16" s="248"/>
      <c r="F16" s="83">
        <f>+F15*9%</f>
        <v>3069</v>
      </c>
    </row>
    <row r="17" spans="1:6" ht="15.75">
      <c r="A17" s="246" t="s">
        <v>16</v>
      </c>
      <c r="B17" s="247"/>
      <c r="C17" s="247"/>
      <c r="D17" s="247"/>
      <c r="E17" s="248"/>
      <c r="F17" s="83">
        <f>+F15*9%</f>
        <v>3069</v>
      </c>
    </row>
    <row r="18" spans="1:6" ht="17.45" customHeight="1">
      <c r="A18" s="260" t="s">
        <v>17</v>
      </c>
      <c r="B18" s="261"/>
      <c r="C18" s="261"/>
      <c r="D18" s="261"/>
      <c r="E18" s="262"/>
      <c r="F18" s="84">
        <f>SUM(F15:F17)</f>
        <v>40238</v>
      </c>
    </row>
    <row r="19" spans="1:6" ht="33" customHeight="1">
      <c r="A19" s="263" t="s">
        <v>683</v>
      </c>
      <c r="B19" s="264"/>
      <c r="C19" s="264"/>
      <c r="D19" s="264"/>
      <c r="E19" s="264"/>
      <c r="F19" s="265"/>
    </row>
    <row r="20" spans="1:6" ht="15" customHeight="1">
      <c r="A20" s="266" t="s">
        <v>18</v>
      </c>
      <c r="B20" s="267"/>
      <c r="C20" s="268" t="s">
        <v>19</v>
      </c>
      <c r="D20" s="269"/>
      <c r="E20" s="269"/>
      <c r="F20" s="270"/>
    </row>
    <row r="21" spans="1:6" ht="15" customHeight="1">
      <c r="A21" s="277" t="s">
        <v>20</v>
      </c>
      <c r="B21" s="278"/>
      <c r="C21" s="279" t="s">
        <v>21</v>
      </c>
      <c r="D21" s="278"/>
      <c r="E21" s="278"/>
      <c r="F21" s="280"/>
    </row>
    <row r="22" spans="1:6" ht="15" customHeight="1">
      <c r="A22" s="277" t="s">
        <v>22</v>
      </c>
      <c r="B22" s="278"/>
      <c r="C22" s="279" t="s">
        <v>23</v>
      </c>
      <c r="D22" s="278"/>
      <c r="E22" s="278"/>
      <c r="F22" s="280"/>
    </row>
    <row r="23" spans="1:6" ht="15" customHeight="1">
      <c r="A23" s="284" t="s">
        <v>24</v>
      </c>
      <c r="B23" s="285"/>
      <c r="C23" s="284" t="s">
        <v>25</v>
      </c>
      <c r="D23" s="285"/>
      <c r="E23" s="285"/>
      <c r="F23" s="286"/>
    </row>
    <row r="24" spans="1:6" ht="27" customHeight="1">
      <c r="A24" s="271" t="s">
        <v>26</v>
      </c>
      <c r="B24" s="272"/>
      <c r="C24" s="272"/>
      <c r="D24" s="272"/>
      <c r="E24" s="272"/>
      <c r="F24" s="273"/>
    </row>
    <row r="25" spans="1:6" ht="26.45" customHeight="1">
      <c r="A25" s="274" t="s">
        <v>27</v>
      </c>
      <c r="B25" s="275"/>
      <c r="C25" s="275"/>
      <c r="D25" s="275"/>
      <c r="E25" s="275"/>
      <c r="F25" s="276"/>
    </row>
  </sheetData>
  <mergeCells count="20">
    <mergeCell ref="A15:E15"/>
    <mergeCell ref="B1:F1"/>
    <mergeCell ref="A2:F2"/>
    <mergeCell ref="C3:F3"/>
    <mergeCell ref="C4:F4"/>
    <mergeCell ref="C5:F5"/>
    <mergeCell ref="A16:E16"/>
    <mergeCell ref="A17:E17"/>
    <mergeCell ref="A18:E18"/>
    <mergeCell ref="A19:F19"/>
    <mergeCell ref="A20:B20"/>
    <mergeCell ref="C20:F20"/>
    <mergeCell ref="A24:F24"/>
    <mergeCell ref="A25:F25"/>
    <mergeCell ref="A21:B21"/>
    <mergeCell ref="C21:F21"/>
    <mergeCell ref="A22:B22"/>
    <mergeCell ref="C22:F22"/>
    <mergeCell ref="A23:B23"/>
    <mergeCell ref="C23:F23"/>
  </mergeCell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66F7-E730-4407-8CCE-5C560094757E}">
  <dimension ref="A1:F25"/>
  <sheetViews>
    <sheetView topLeftCell="A4" workbookViewId="0">
      <selection activeCell="J11" sqref="J11"/>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677</v>
      </c>
      <c r="D3" s="255"/>
      <c r="E3" s="255"/>
      <c r="F3" s="256"/>
    </row>
    <row r="4" spans="1:6" ht="29.25" customHeight="1">
      <c r="A4" s="6"/>
      <c r="B4" s="7" t="s">
        <v>8</v>
      </c>
      <c r="C4" s="254" t="s">
        <v>676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9.25" customHeight="1">
      <c r="A7" s="74"/>
      <c r="B7" s="87"/>
      <c r="C7" s="75"/>
      <c r="D7" s="75"/>
      <c r="E7" s="74"/>
      <c r="F7" s="74"/>
    </row>
    <row r="8" spans="1:6" ht="15.95" customHeight="1">
      <c r="A8" s="74">
        <v>1</v>
      </c>
      <c r="B8" s="77" t="s">
        <v>678</v>
      </c>
      <c r="C8" s="68">
        <v>2</v>
      </c>
      <c r="D8" s="68" t="s">
        <v>13</v>
      </c>
      <c r="E8" s="69">
        <v>1600</v>
      </c>
      <c r="F8" s="69">
        <f>C8*E8</f>
        <v>3200</v>
      </c>
    </row>
    <row r="9" spans="1:6" ht="15.95" customHeight="1">
      <c r="A9" s="74"/>
      <c r="B9" s="76"/>
      <c r="C9" s="75"/>
      <c r="D9" s="75"/>
      <c r="E9" s="52"/>
      <c r="F9" s="74"/>
    </row>
    <row r="10" spans="1:6" ht="15.95" customHeight="1">
      <c r="A10" s="74"/>
      <c r="B10" s="74"/>
      <c r="C10" s="75"/>
      <c r="D10" s="75"/>
      <c r="E10" s="74"/>
      <c r="F10" s="74"/>
    </row>
    <row r="11" spans="1:6" ht="15.95" customHeight="1">
      <c r="A11" s="74"/>
      <c r="B11" s="86"/>
      <c r="C11" s="75"/>
      <c r="D11" s="75"/>
      <c r="E11" s="74"/>
      <c r="F11" s="74"/>
    </row>
    <row r="12" spans="1:6" ht="15.95" customHeight="1">
      <c r="A12" s="6"/>
      <c r="B12" s="85"/>
      <c r="C12" s="68"/>
      <c r="D12" s="68"/>
      <c r="E12" s="69"/>
      <c r="F12" s="69"/>
    </row>
    <row r="13" spans="1:6" ht="15.95" customHeight="1">
      <c r="A13" s="6"/>
      <c r="B13" s="86"/>
      <c r="C13" s="68"/>
      <c r="D13" s="68"/>
      <c r="E13" s="69"/>
      <c r="F13" s="69"/>
    </row>
    <row r="14" spans="1:6" ht="15.95" customHeight="1">
      <c r="A14" s="104"/>
      <c r="B14" s="166"/>
      <c r="C14" s="80"/>
      <c r="D14" s="80"/>
      <c r="E14" s="106"/>
      <c r="F14" s="82"/>
    </row>
    <row r="15" spans="1:6" ht="15.75">
      <c r="A15" s="246" t="s">
        <v>14</v>
      </c>
      <c r="B15" s="247"/>
      <c r="C15" s="247"/>
      <c r="D15" s="247"/>
      <c r="E15" s="248"/>
      <c r="F15" s="83">
        <f>SUM(F8:F14)</f>
        <v>3200</v>
      </c>
    </row>
    <row r="16" spans="1:6" ht="15.75">
      <c r="A16" s="246" t="s">
        <v>15</v>
      </c>
      <c r="B16" s="247"/>
      <c r="C16" s="247"/>
      <c r="D16" s="247"/>
      <c r="E16" s="248"/>
      <c r="F16" s="83">
        <f>+F15*9%</f>
        <v>288</v>
      </c>
    </row>
    <row r="17" spans="1:6" ht="15.75">
      <c r="A17" s="246" t="s">
        <v>16</v>
      </c>
      <c r="B17" s="247"/>
      <c r="C17" s="247"/>
      <c r="D17" s="247"/>
      <c r="E17" s="248"/>
      <c r="F17" s="83">
        <f>+F15*9%</f>
        <v>288</v>
      </c>
    </row>
    <row r="18" spans="1:6" ht="17.45" customHeight="1">
      <c r="A18" s="260" t="s">
        <v>17</v>
      </c>
      <c r="B18" s="261"/>
      <c r="C18" s="261"/>
      <c r="D18" s="261"/>
      <c r="E18" s="262"/>
      <c r="F18" s="84">
        <f>SUM(F15:F17)</f>
        <v>3776</v>
      </c>
    </row>
    <row r="19" spans="1:6" ht="33" customHeight="1">
      <c r="A19" s="263" t="s">
        <v>675</v>
      </c>
      <c r="B19" s="264"/>
      <c r="C19" s="264"/>
      <c r="D19" s="264"/>
      <c r="E19" s="264"/>
      <c r="F19" s="265"/>
    </row>
    <row r="20" spans="1:6" ht="15" customHeight="1">
      <c r="A20" s="266" t="s">
        <v>18</v>
      </c>
      <c r="B20" s="267"/>
      <c r="C20" s="268" t="s">
        <v>19</v>
      </c>
      <c r="D20" s="269"/>
      <c r="E20" s="269"/>
      <c r="F20" s="270"/>
    </row>
    <row r="21" spans="1:6" ht="15" customHeight="1">
      <c r="A21" s="277" t="s">
        <v>20</v>
      </c>
      <c r="B21" s="278"/>
      <c r="C21" s="279" t="s">
        <v>21</v>
      </c>
      <c r="D21" s="278"/>
      <c r="E21" s="278"/>
      <c r="F21" s="280"/>
    </row>
    <row r="22" spans="1:6" ht="15" customHeight="1">
      <c r="A22" s="277" t="s">
        <v>22</v>
      </c>
      <c r="B22" s="278"/>
      <c r="C22" s="279" t="s">
        <v>23</v>
      </c>
      <c r="D22" s="278"/>
      <c r="E22" s="278"/>
      <c r="F22" s="280"/>
    </row>
    <row r="23" spans="1:6" ht="15" customHeight="1">
      <c r="A23" s="284" t="s">
        <v>24</v>
      </c>
      <c r="B23" s="285"/>
      <c r="C23" s="284" t="s">
        <v>25</v>
      </c>
      <c r="D23" s="285"/>
      <c r="E23" s="285"/>
      <c r="F23" s="286"/>
    </row>
    <row r="24" spans="1:6" ht="27" customHeight="1">
      <c r="A24" s="271" t="s">
        <v>26</v>
      </c>
      <c r="B24" s="272"/>
      <c r="C24" s="272"/>
      <c r="D24" s="272"/>
      <c r="E24" s="272"/>
      <c r="F24" s="273"/>
    </row>
    <row r="25" spans="1:6" ht="26.45" customHeight="1">
      <c r="A25" s="274" t="s">
        <v>27</v>
      </c>
      <c r="B25" s="275"/>
      <c r="C25" s="275"/>
      <c r="D25" s="275"/>
      <c r="E25" s="275"/>
      <c r="F25" s="276"/>
    </row>
  </sheetData>
  <mergeCells count="20">
    <mergeCell ref="A24:F24"/>
    <mergeCell ref="A25:F25"/>
    <mergeCell ref="A21:B21"/>
    <mergeCell ref="C21:F21"/>
    <mergeCell ref="A22:B22"/>
    <mergeCell ref="C22:F22"/>
    <mergeCell ref="A23:B23"/>
    <mergeCell ref="C23:F23"/>
    <mergeCell ref="A16:E16"/>
    <mergeCell ref="A17:E17"/>
    <mergeCell ref="A18:E18"/>
    <mergeCell ref="A19:F19"/>
    <mergeCell ref="A20:B20"/>
    <mergeCell ref="C20:F20"/>
    <mergeCell ref="A15:E15"/>
    <mergeCell ref="B1:F1"/>
    <mergeCell ref="A2:F2"/>
    <mergeCell ref="C3:F3"/>
    <mergeCell ref="C4:F4"/>
    <mergeCell ref="C5:F5"/>
  </mergeCell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4946-71FD-4C53-B592-46AD9BCF30CD}">
  <dimension ref="A1:F56"/>
  <sheetViews>
    <sheetView workbookViewId="0">
      <selection activeCell="I9" sqref="I9"/>
    </sheetView>
  </sheetViews>
  <sheetFormatPr defaultRowHeight="15"/>
  <cols>
    <col min="1" max="1" width="5.28515625" customWidth="1"/>
    <col min="2" max="2" width="51.42578125" customWidth="1"/>
    <col min="3" max="3" width="5" customWidth="1"/>
    <col min="4" max="4" width="5.28515625" customWidth="1"/>
    <col min="5" max="5" width="10.7109375" customWidth="1"/>
    <col min="6" max="6" width="12.14062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671</v>
      </c>
      <c r="D3" s="255"/>
      <c r="E3" s="255"/>
      <c r="F3" s="256"/>
    </row>
    <row r="4" spans="1:6" ht="29.25" customHeight="1">
      <c r="A4" s="6"/>
      <c r="B4" s="7" t="s">
        <v>8</v>
      </c>
      <c r="C4" s="254" t="s">
        <v>674</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5.6" customHeight="1">
      <c r="A7" s="74"/>
      <c r="B7" s="87" t="s">
        <v>657</v>
      </c>
      <c r="C7" s="75"/>
      <c r="D7" s="75"/>
      <c r="E7" s="74"/>
      <c r="F7" s="74"/>
    </row>
    <row r="8" spans="1:6" ht="16.5">
      <c r="A8" s="74">
        <v>1</v>
      </c>
      <c r="B8" s="76" t="s">
        <v>658</v>
      </c>
      <c r="C8" s="68">
        <v>1</v>
      </c>
      <c r="D8" s="68" t="s">
        <v>60</v>
      </c>
      <c r="E8" s="69">
        <v>35000</v>
      </c>
      <c r="F8" s="69">
        <f>C8*E8</f>
        <v>35000</v>
      </c>
    </row>
    <row r="9" spans="1:6" ht="15.6" customHeight="1">
      <c r="A9" s="74"/>
      <c r="B9" s="76" t="s">
        <v>659</v>
      </c>
      <c r="C9" s="75"/>
      <c r="D9" s="75"/>
      <c r="E9" s="52"/>
      <c r="F9" s="74"/>
    </row>
    <row r="10" spans="1:6" ht="10.15" customHeight="1">
      <c r="A10" s="74"/>
      <c r="B10" s="74"/>
      <c r="C10" s="75"/>
      <c r="D10" s="75"/>
      <c r="E10" s="74"/>
      <c r="F10" s="74"/>
    </row>
    <row r="11" spans="1:6" ht="16.5">
      <c r="A11" s="74">
        <v>2</v>
      </c>
      <c r="B11" s="86" t="s">
        <v>660</v>
      </c>
      <c r="C11" s="75"/>
      <c r="D11" s="75"/>
      <c r="E11" s="74"/>
      <c r="F11" s="74"/>
    </row>
    <row r="12" spans="1:6" ht="15.95" customHeight="1">
      <c r="A12" s="6"/>
      <c r="B12" s="85" t="s">
        <v>375</v>
      </c>
      <c r="C12" s="68">
        <v>3</v>
      </c>
      <c r="D12" s="68" t="s">
        <v>60</v>
      </c>
      <c r="E12" s="69">
        <v>127750</v>
      </c>
      <c r="F12" s="69">
        <f>C12*E12</f>
        <v>383250</v>
      </c>
    </row>
    <row r="13" spans="1:6" ht="15.95" customHeight="1">
      <c r="A13" s="6"/>
      <c r="B13" s="86" t="s">
        <v>670</v>
      </c>
      <c r="C13" s="68"/>
      <c r="D13" s="68"/>
      <c r="E13" s="69"/>
      <c r="F13" s="69"/>
    </row>
    <row r="14" spans="1:6" ht="30.2" customHeight="1">
      <c r="A14" s="6"/>
      <c r="B14" s="86" t="s">
        <v>377</v>
      </c>
      <c r="C14" s="68"/>
      <c r="D14" s="68"/>
      <c r="E14" s="69"/>
      <c r="F14" s="69"/>
    </row>
    <row r="15" spans="1:6" ht="15.95" customHeight="1">
      <c r="A15" s="6"/>
      <c r="B15" s="101" t="s">
        <v>451</v>
      </c>
      <c r="C15" s="68"/>
      <c r="D15" s="68"/>
      <c r="E15" s="69"/>
      <c r="F15" s="69"/>
    </row>
    <row r="16" spans="1:6" ht="15.95" customHeight="1">
      <c r="A16" s="6"/>
      <c r="B16" s="102" t="s">
        <v>452</v>
      </c>
      <c r="C16" s="68"/>
      <c r="D16" s="68"/>
      <c r="E16" s="69"/>
      <c r="F16" s="69"/>
    </row>
    <row r="17" spans="1:6" ht="11.65" customHeight="1">
      <c r="A17" s="6"/>
      <c r="B17" s="100"/>
      <c r="C17" s="68"/>
      <c r="D17" s="68"/>
      <c r="E17" s="69"/>
      <c r="F17" s="69"/>
    </row>
    <row r="18" spans="1:6" ht="15.95" customHeight="1">
      <c r="A18" s="6">
        <v>3</v>
      </c>
      <c r="B18" s="85" t="s">
        <v>661</v>
      </c>
      <c r="C18" s="68">
        <v>1</v>
      </c>
      <c r="D18" s="68" t="s">
        <v>60</v>
      </c>
      <c r="E18" s="69">
        <v>27500</v>
      </c>
      <c r="F18" s="69">
        <f>C18*E18</f>
        <v>27500</v>
      </c>
    </row>
    <row r="19" spans="1:6" ht="15.75">
      <c r="A19" s="6"/>
      <c r="B19" s="77" t="s">
        <v>662</v>
      </c>
      <c r="C19" s="68"/>
      <c r="D19" s="68"/>
      <c r="E19" s="69"/>
      <c r="F19" s="69"/>
    </row>
    <row r="20" spans="1:6" ht="15.75">
      <c r="A20" s="6"/>
      <c r="B20" s="60" t="s">
        <v>663</v>
      </c>
      <c r="C20" s="67"/>
      <c r="D20" s="67"/>
      <c r="E20" s="78"/>
      <c r="F20" s="69"/>
    </row>
    <row r="21" spans="1:6" ht="10.9" customHeight="1">
      <c r="A21" s="6"/>
      <c r="B21" s="165"/>
      <c r="C21" s="67"/>
      <c r="D21" s="67"/>
      <c r="E21" s="78"/>
      <c r="F21" s="69"/>
    </row>
    <row r="22" spans="1:6" ht="13.7" customHeight="1">
      <c r="A22" s="6">
        <v>4</v>
      </c>
      <c r="B22" s="165" t="s">
        <v>665</v>
      </c>
      <c r="C22" s="68">
        <v>1</v>
      </c>
      <c r="D22" s="68" t="s">
        <v>60</v>
      </c>
      <c r="E22" s="69">
        <v>95000</v>
      </c>
      <c r="F22" s="69">
        <f>C22*E22</f>
        <v>95000</v>
      </c>
    </row>
    <row r="23" spans="1:6" ht="15.75">
      <c r="A23" s="6"/>
      <c r="B23" s="165" t="s">
        <v>664</v>
      </c>
      <c r="C23" s="68"/>
      <c r="D23" s="68"/>
      <c r="E23" s="69"/>
      <c r="F23" s="69"/>
    </row>
    <row r="24" spans="1:6" ht="15.75">
      <c r="A24" s="6"/>
      <c r="B24" s="165" t="s">
        <v>667</v>
      </c>
      <c r="C24" s="67"/>
      <c r="D24" s="67"/>
      <c r="E24" s="78"/>
      <c r="F24" s="69"/>
    </row>
    <row r="25" spans="1:6" ht="15" customHeight="1">
      <c r="A25" s="6"/>
      <c r="B25" s="165" t="s">
        <v>666</v>
      </c>
      <c r="C25" s="67"/>
      <c r="D25" s="67"/>
      <c r="E25" s="78"/>
      <c r="F25" s="69"/>
    </row>
    <row r="26" spans="1:6" ht="16.350000000000001" customHeight="1">
      <c r="A26" s="6"/>
      <c r="B26" s="165" t="s">
        <v>668</v>
      </c>
      <c r="C26" s="67"/>
      <c r="D26" s="67"/>
      <c r="E26" s="78"/>
      <c r="F26" s="69"/>
    </row>
    <row r="27" spans="1:6" ht="12.2" customHeight="1">
      <c r="A27" s="6"/>
      <c r="B27" s="165"/>
      <c r="C27" s="67"/>
      <c r="D27" s="67"/>
      <c r="E27" s="78"/>
      <c r="F27" s="69"/>
    </row>
    <row r="28" spans="1:6" ht="15" customHeight="1">
      <c r="A28" s="6">
        <v>5</v>
      </c>
      <c r="B28" s="15" t="s">
        <v>437</v>
      </c>
      <c r="C28" s="68">
        <v>1</v>
      </c>
      <c r="D28" s="68" t="s">
        <v>60</v>
      </c>
      <c r="E28" s="69">
        <v>250000</v>
      </c>
      <c r="F28" s="69">
        <f>C28*E28</f>
        <v>250000</v>
      </c>
    </row>
    <row r="29" spans="1:6" ht="15" customHeight="1">
      <c r="A29" s="6"/>
      <c r="B29" s="62" t="s">
        <v>436</v>
      </c>
      <c r="C29" s="67"/>
      <c r="D29" s="67"/>
      <c r="E29" s="78"/>
      <c r="F29" s="69"/>
    </row>
    <row r="30" spans="1:6" ht="15" customHeight="1">
      <c r="A30" s="6"/>
      <c r="B30" s="95" t="s">
        <v>435</v>
      </c>
      <c r="C30" s="67"/>
      <c r="D30" s="67"/>
      <c r="E30" s="69"/>
      <c r="F30" s="69"/>
    </row>
    <row r="31" spans="1:6" ht="15" customHeight="1">
      <c r="A31" s="6"/>
      <c r="B31" s="15" t="s">
        <v>421</v>
      </c>
      <c r="C31" s="67"/>
      <c r="D31" s="67"/>
      <c r="E31" s="78"/>
      <c r="F31" s="69"/>
    </row>
    <row r="32" spans="1:6" ht="15" customHeight="1">
      <c r="A32" s="6"/>
      <c r="B32" s="15" t="s">
        <v>422</v>
      </c>
      <c r="C32" s="67"/>
      <c r="D32" s="67"/>
      <c r="E32" s="78"/>
      <c r="F32" s="69"/>
    </row>
    <row r="33" spans="1:6" ht="15" customHeight="1">
      <c r="A33" s="6"/>
      <c r="B33" s="15" t="s">
        <v>423</v>
      </c>
      <c r="C33" s="67"/>
      <c r="D33" s="67"/>
      <c r="E33" s="78"/>
      <c r="F33" s="69"/>
    </row>
    <row r="34" spans="1:6" ht="15" customHeight="1">
      <c r="A34" s="6"/>
      <c r="B34" s="15" t="s">
        <v>424</v>
      </c>
      <c r="C34" s="67"/>
      <c r="D34" s="67"/>
      <c r="E34" s="78"/>
      <c r="F34" s="69"/>
    </row>
    <row r="35" spans="1:6" ht="15" customHeight="1">
      <c r="A35" s="6"/>
      <c r="B35" s="62" t="s">
        <v>425</v>
      </c>
      <c r="C35" s="67"/>
      <c r="D35" s="67"/>
      <c r="E35" s="78"/>
      <c r="F35" s="69"/>
    </row>
    <row r="36" spans="1:6" ht="15" customHeight="1">
      <c r="A36" s="6"/>
      <c r="B36" s="15" t="s">
        <v>672</v>
      </c>
      <c r="C36" s="67"/>
      <c r="D36" s="67"/>
      <c r="E36" s="78"/>
      <c r="F36" s="69"/>
    </row>
    <row r="37" spans="1:6" ht="15" customHeight="1">
      <c r="A37" s="6"/>
      <c r="B37" s="15" t="s">
        <v>673</v>
      </c>
      <c r="C37" s="67"/>
      <c r="D37" s="67"/>
      <c r="E37" s="78"/>
      <c r="F37" s="69"/>
    </row>
    <row r="38" spans="1:6" ht="15" customHeight="1">
      <c r="A38" s="6"/>
      <c r="B38" s="15" t="s">
        <v>428</v>
      </c>
      <c r="C38" s="67"/>
      <c r="D38" s="67"/>
      <c r="E38" s="78"/>
      <c r="F38" s="69"/>
    </row>
    <row r="39" spans="1:6" ht="15" customHeight="1">
      <c r="A39" s="6"/>
      <c r="B39" s="15" t="s">
        <v>429</v>
      </c>
      <c r="C39" s="67"/>
      <c r="D39" s="67"/>
      <c r="E39" s="78"/>
      <c r="F39" s="69"/>
    </row>
    <row r="40" spans="1:6" ht="15" customHeight="1">
      <c r="A40" s="6"/>
      <c r="B40" s="15" t="s">
        <v>430</v>
      </c>
      <c r="C40" s="67"/>
      <c r="D40" s="67"/>
      <c r="E40" s="78"/>
      <c r="F40" s="69"/>
    </row>
    <row r="41" spans="1:6" ht="15" customHeight="1">
      <c r="A41" s="6"/>
      <c r="B41" s="15" t="s">
        <v>431</v>
      </c>
      <c r="C41" s="67"/>
      <c r="D41" s="67"/>
      <c r="E41" s="78"/>
      <c r="F41" s="69"/>
    </row>
    <row r="42" spans="1:6" ht="15" customHeight="1">
      <c r="A42" s="6"/>
      <c r="B42" s="96" t="s">
        <v>432</v>
      </c>
      <c r="C42" s="67"/>
      <c r="D42" s="67"/>
      <c r="E42" s="78"/>
      <c r="F42" s="69"/>
    </row>
    <row r="43" spans="1:6" ht="15" customHeight="1">
      <c r="A43" s="6"/>
      <c r="B43" s="62" t="s">
        <v>434</v>
      </c>
      <c r="C43" s="67"/>
      <c r="D43" s="67"/>
      <c r="E43" s="78"/>
      <c r="F43" s="69"/>
    </row>
    <row r="44" spans="1:6" ht="15" customHeight="1">
      <c r="A44" s="6"/>
      <c r="B44" s="15" t="s">
        <v>433</v>
      </c>
      <c r="C44" s="67"/>
      <c r="D44" s="67"/>
      <c r="E44" s="78"/>
      <c r="F44" s="69"/>
    </row>
    <row r="45" spans="1:6" ht="15.75">
      <c r="A45" s="79"/>
      <c r="B45" s="29"/>
      <c r="C45" s="80"/>
      <c r="D45" s="80"/>
      <c r="E45" s="81"/>
      <c r="F45" s="82"/>
    </row>
    <row r="46" spans="1:6" ht="15.75">
      <c r="A46" s="246" t="s">
        <v>14</v>
      </c>
      <c r="B46" s="247"/>
      <c r="C46" s="247"/>
      <c r="D46" s="247"/>
      <c r="E46" s="248"/>
      <c r="F46" s="83">
        <f>SUM(F12:F45)</f>
        <v>755750</v>
      </c>
    </row>
    <row r="47" spans="1:6" ht="15.75">
      <c r="A47" s="246" t="s">
        <v>15</v>
      </c>
      <c r="B47" s="247"/>
      <c r="C47" s="247"/>
      <c r="D47" s="247"/>
      <c r="E47" s="248"/>
      <c r="F47" s="83">
        <f>+F46*9%</f>
        <v>68017.5</v>
      </c>
    </row>
    <row r="48" spans="1:6" ht="15.75">
      <c r="A48" s="246" t="s">
        <v>16</v>
      </c>
      <c r="B48" s="247"/>
      <c r="C48" s="247"/>
      <c r="D48" s="247"/>
      <c r="E48" s="248"/>
      <c r="F48" s="83">
        <f>+F46*9%</f>
        <v>68017.5</v>
      </c>
    </row>
    <row r="49" spans="1:6" ht="17.45" customHeight="1">
      <c r="A49" s="260" t="s">
        <v>17</v>
      </c>
      <c r="B49" s="261"/>
      <c r="C49" s="261"/>
      <c r="D49" s="261"/>
      <c r="E49" s="262"/>
      <c r="F49" s="84">
        <f>SUM(F46:F48)</f>
        <v>891785</v>
      </c>
    </row>
    <row r="50" spans="1:6" ht="33" customHeight="1">
      <c r="A50" s="263" t="s">
        <v>669</v>
      </c>
      <c r="B50" s="264"/>
      <c r="C50" s="264"/>
      <c r="D50" s="264"/>
      <c r="E50" s="264"/>
      <c r="F50" s="265"/>
    </row>
    <row r="51" spans="1:6" ht="15" customHeight="1">
      <c r="A51" s="266" t="s">
        <v>18</v>
      </c>
      <c r="B51" s="267"/>
      <c r="C51" s="268" t="s">
        <v>19</v>
      </c>
      <c r="D51" s="269"/>
      <c r="E51" s="269"/>
      <c r="F51" s="270"/>
    </row>
    <row r="52" spans="1:6" ht="15" customHeight="1">
      <c r="A52" s="277" t="s">
        <v>20</v>
      </c>
      <c r="B52" s="278"/>
      <c r="C52" s="279" t="s">
        <v>21</v>
      </c>
      <c r="D52" s="278"/>
      <c r="E52" s="278"/>
      <c r="F52" s="280"/>
    </row>
    <row r="53" spans="1:6" ht="15" customHeight="1">
      <c r="A53" s="277" t="s">
        <v>22</v>
      </c>
      <c r="B53" s="278"/>
      <c r="C53" s="279" t="s">
        <v>23</v>
      </c>
      <c r="D53" s="278"/>
      <c r="E53" s="278"/>
      <c r="F53" s="280"/>
    </row>
    <row r="54" spans="1:6" ht="15" customHeight="1">
      <c r="A54" s="284" t="s">
        <v>24</v>
      </c>
      <c r="B54" s="285"/>
      <c r="C54" s="284" t="s">
        <v>25</v>
      </c>
      <c r="D54" s="285"/>
      <c r="E54" s="285"/>
      <c r="F54" s="286"/>
    </row>
    <row r="55" spans="1:6" ht="27" customHeight="1">
      <c r="A55" s="271" t="s">
        <v>26</v>
      </c>
      <c r="B55" s="272"/>
      <c r="C55" s="272"/>
      <c r="D55" s="272"/>
      <c r="E55" s="272"/>
      <c r="F55" s="273"/>
    </row>
    <row r="56" spans="1:6" ht="26.45" customHeight="1">
      <c r="A56" s="274" t="s">
        <v>27</v>
      </c>
      <c r="B56" s="275"/>
      <c r="C56" s="275"/>
      <c r="D56" s="275"/>
      <c r="E56" s="275"/>
      <c r="F56" s="276"/>
    </row>
  </sheetData>
  <mergeCells count="20">
    <mergeCell ref="A46:E46"/>
    <mergeCell ref="B1:F1"/>
    <mergeCell ref="A2:F2"/>
    <mergeCell ref="C3:F3"/>
    <mergeCell ref="C4:F4"/>
    <mergeCell ref="C5:F5"/>
    <mergeCell ref="A47:E47"/>
    <mergeCell ref="A48:E48"/>
    <mergeCell ref="A49:E49"/>
    <mergeCell ref="A50:F50"/>
    <mergeCell ref="A51:B51"/>
    <mergeCell ref="C51:F51"/>
    <mergeCell ref="A55:F55"/>
    <mergeCell ref="A56:F56"/>
    <mergeCell ref="A52:B52"/>
    <mergeCell ref="C52:F52"/>
    <mergeCell ref="A53:B53"/>
    <mergeCell ref="C53:F53"/>
    <mergeCell ref="A54:B54"/>
    <mergeCell ref="C54:F54"/>
  </mergeCells>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5997-68FE-4A1A-A5EB-01121EC8B919}">
  <dimension ref="A1:G27"/>
  <sheetViews>
    <sheetView workbookViewId="0">
      <selection activeCell="K5" sqref="K5"/>
    </sheetView>
  </sheetViews>
  <sheetFormatPr defaultRowHeight="15"/>
  <cols>
    <col min="1" max="1" width="5.5703125" customWidth="1"/>
    <col min="2" max="2" width="48" customWidth="1"/>
    <col min="3" max="3" width="6" customWidth="1"/>
    <col min="4" max="4" width="5.5703125" customWidth="1"/>
    <col min="5" max="5" width="4.7109375" customWidth="1"/>
    <col min="6" max="6" width="9" customWidth="1"/>
    <col min="7" max="7" width="11.140625" customWidth="1"/>
  </cols>
  <sheetData>
    <row r="1" spans="1:7" ht="117" customHeight="1">
      <c r="A1" s="1"/>
      <c r="B1" s="290" t="s">
        <v>0</v>
      </c>
      <c r="C1" s="290"/>
      <c r="D1" s="290"/>
      <c r="E1" s="290"/>
      <c r="F1" s="290"/>
      <c r="G1" s="291"/>
    </row>
    <row r="2" spans="1:7" ht="18" customHeight="1">
      <c r="A2" s="251" t="s">
        <v>6</v>
      </c>
      <c r="B2" s="252"/>
      <c r="C2" s="252"/>
      <c r="D2" s="252"/>
      <c r="E2" s="252"/>
      <c r="F2" s="252"/>
      <c r="G2" s="253"/>
    </row>
    <row r="3" spans="1:7" ht="17.25">
      <c r="A3" s="4" t="s">
        <v>7</v>
      </c>
      <c r="B3" s="320" t="s">
        <v>655</v>
      </c>
      <c r="C3" s="321"/>
      <c r="D3" s="254" t="s">
        <v>651</v>
      </c>
      <c r="E3" s="255"/>
      <c r="F3" s="255"/>
      <c r="G3" s="256"/>
    </row>
    <row r="4" spans="1:7" ht="29.25" customHeight="1">
      <c r="A4" s="6"/>
      <c r="B4" s="322"/>
      <c r="C4" s="323"/>
      <c r="D4" s="254" t="s">
        <v>640</v>
      </c>
      <c r="E4" s="255"/>
      <c r="F4" s="255"/>
      <c r="G4" s="256"/>
    </row>
    <row r="5" spans="1:7" ht="16.5" customHeight="1">
      <c r="A5" s="8"/>
      <c r="B5" s="324"/>
      <c r="C5" s="325"/>
      <c r="D5" s="257" t="s">
        <v>9</v>
      </c>
      <c r="E5" s="258"/>
      <c r="F5" s="258"/>
      <c r="G5" s="259"/>
    </row>
    <row r="6" spans="1:7" ht="16.5">
      <c r="A6" s="9" t="s">
        <v>3</v>
      </c>
      <c r="B6" s="9" t="s">
        <v>4</v>
      </c>
      <c r="C6" s="9" t="s">
        <v>653</v>
      </c>
      <c r="D6" s="9" t="s">
        <v>5</v>
      </c>
      <c r="E6" s="9" t="s">
        <v>10</v>
      </c>
      <c r="F6" s="9" t="s">
        <v>11</v>
      </c>
      <c r="G6" s="9" t="s">
        <v>12</v>
      </c>
    </row>
    <row r="7" spans="1:7" ht="29.85" customHeight="1">
      <c r="A7" s="74"/>
      <c r="B7" s="146"/>
      <c r="C7" s="153"/>
      <c r="D7" s="75"/>
      <c r="E7" s="75"/>
      <c r="F7" s="74"/>
      <c r="G7" s="74"/>
    </row>
    <row r="8" spans="1:7" ht="17.100000000000001" customHeight="1">
      <c r="A8" s="6">
        <v>1</v>
      </c>
      <c r="B8" s="147" t="s">
        <v>646</v>
      </c>
      <c r="C8" s="155">
        <v>9403</v>
      </c>
      <c r="D8" s="68">
        <v>38</v>
      </c>
      <c r="E8" s="68" t="s">
        <v>13</v>
      </c>
      <c r="F8" s="69">
        <v>23500</v>
      </c>
      <c r="G8" s="69">
        <f>D8*F8</f>
        <v>893000</v>
      </c>
    </row>
    <row r="9" spans="1:7" ht="17.100000000000001" customHeight="1">
      <c r="A9" s="6"/>
      <c r="B9" s="147" t="s">
        <v>648</v>
      </c>
      <c r="C9" s="154"/>
      <c r="D9" s="68"/>
      <c r="E9" s="68"/>
      <c r="F9" s="69"/>
      <c r="G9" s="69"/>
    </row>
    <row r="10" spans="1:7" ht="17.100000000000001" customHeight="1">
      <c r="A10" s="6"/>
      <c r="B10" s="156" t="s">
        <v>649</v>
      </c>
      <c r="C10" s="157"/>
      <c r="D10" s="68"/>
      <c r="E10" s="68"/>
      <c r="F10" s="69"/>
      <c r="G10" s="69"/>
    </row>
    <row r="11" spans="1:7" ht="17.100000000000001" customHeight="1">
      <c r="A11" s="6"/>
      <c r="B11" s="154" t="s">
        <v>647</v>
      </c>
      <c r="C11" s="147"/>
      <c r="D11" s="68"/>
      <c r="E11" s="68"/>
      <c r="F11" s="69"/>
      <c r="G11" s="69"/>
    </row>
    <row r="12" spans="1:7" ht="17.100000000000001" customHeight="1">
      <c r="A12" s="71"/>
      <c r="B12" s="156" t="s">
        <v>650</v>
      </c>
      <c r="C12" s="157"/>
      <c r="D12" s="158"/>
      <c r="E12" s="158"/>
      <c r="F12" s="159"/>
      <c r="G12" s="159"/>
    </row>
    <row r="13" spans="1:7" ht="17.100000000000001" customHeight="1">
      <c r="A13" s="71"/>
      <c r="B13" s="156" t="s">
        <v>652</v>
      </c>
      <c r="C13" s="157"/>
      <c r="D13" s="158"/>
      <c r="E13" s="158"/>
      <c r="F13" s="159"/>
      <c r="G13" s="159"/>
    </row>
    <row r="14" spans="1:7" ht="17.100000000000001" customHeight="1">
      <c r="A14" s="71"/>
      <c r="B14" s="156" t="s">
        <v>654</v>
      </c>
      <c r="C14" s="157"/>
      <c r="D14" s="158"/>
      <c r="E14" s="158"/>
      <c r="F14" s="159"/>
      <c r="G14" s="159"/>
    </row>
    <row r="15" spans="1:7" ht="17.100000000000001" customHeight="1">
      <c r="A15" s="71"/>
      <c r="B15" s="160"/>
      <c r="C15" s="157"/>
      <c r="D15" s="158"/>
      <c r="E15" s="158"/>
      <c r="F15" s="159"/>
      <c r="G15" s="159"/>
    </row>
    <row r="16" spans="1:7" ht="17.100000000000001" customHeight="1">
      <c r="A16" s="79"/>
      <c r="B16" s="161"/>
      <c r="C16" s="162"/>
      <c r="D16" s="163"/>
      <c r="E16" s="163"/>
      <c r="F16" s="164"/>
      <c r="G16" s="164"/>
    </row>
    <row r="17" spans="1:7" ht="15.75">
      <c r="A17" s="246" t="s">
        <v>14</v>
      </c>
      <c r="B17" s="247"/>
      <c r="C17" s="247"/>
      <c r="D17" s="247"/>
      <c r="E17" s="247"/>
      <c r="F17" s="248"/>
      <c r="G17" s="83">
        <f>SUM(G8:G16)</f>
        <v>893000</v>
      </c>
    </row>
    <row r="18" spans="1:7" ht="15.75">
      <c r="A18" s="246" t="s">
        <v>15</v>
      </c>
      <c r="B18" s="247"/>
      <c r="C18" s="247"/>
      <c r="D18" s="247"/>
      <c r="E18" s="247"/>
      <c r="F18" s="248"/>
      <c r="G18" s="83">
        <f>+G17*9%</f>
        <v>80370</v>
      </c>
    </row>
    <row r="19" spans="1:7" ht="15.75">
      <c r="A19" s="246" t="s">
        <v>16</v>
      </c>
      <c r="B19" s="247"/>
      <c r="C19" s="247"/>
      <c r="D19" s="247"/>
      <c r="E19" s="247"/>
      <c r="F19" s="248"/>
      <c r="G19" s="83">
        <f>+G17*9%</f>
        <v>80370</v>
      </c>
    </row>
    <row r="20" spans="1:7" ht="17.45" customHeight="1">
      <c r="A20" s="260" t="s">
        <v>17</v>
      </c>
      <c r="B20" s="261"/>
      <c r="C20" s="261"/>
      <c r="D20" s="261"/>
      <c r="E20" s="261"/>
      <c r="F20" s="262"/>
      <c r="G20" s="84">
        <f>SUM(G17:G19)</f>
        <v>1053740</v>
      </c>
    </row>
    <row r="21" spans="1:7" ht="33" customHeight="1">
      <c r="A21" s="263" t="s">
        <v>656</v>
      </c>
      <c r="B21" s="264"/>
      <c r="C21" s="264"/>
      <c r="D21" s="264"/>
      <c r="E21" s="264"/>
      <c r="F21" s="264"/>
      <c r="G21" s="265"/>
    </row>
    <row r="22" spans="1:7" ht="15" customHeight="1">
      <c r="A22" s="266" t="s">
        <v>18</v>
      </c>
      <c r="B22" s="267"/>
      <c r="C22" s="148"/>
      <c r="D22" s="268" t="s">
        <v>19</v>
      </c>
      <c r="E22" s="269"/>
      <c r="F22" s="269"/>
      <c r="G22" s="270"/>
    </row>
    <row r="23" spans="1:7" ht="15" customHeight="1">
      <c r="A23" s="277" t="s">
        <v>20</v>
      </c>
      <c r="B23" s="278"/>
      <c r="C23" s="47"/>
      <c r="D23" s="279" t="s">
        <v>21</v>
      </c>
      <c r="E23" s="278"/>
      <c r="F23" s="278"/>
      <c r="G23" s="280"/>
    </row>
    <row r="24" spans="1:7" ht="15" customHeight="1">
      <c r="A24" s="277" t="s">
        <v>22</v>
      </c>
      <c r="B24" s="278"/>
      <c r="C24" s="47"/>
      <c r="D24" s="279" t="s">
        <v>23</v>
      </c>
      <c r="E24" s="278"/>
      <c r="F24" s="278"/>
      <c r="G24" s="280"/>
    </row>
    <row r="25" spans="1:7" ht="15" customHeight="1">
      <c r="A25" s="284" t="s">
        <v>24</v>
      </c>
      <c r="B25" s="285"/>
      <c r="C25" s="149"/>
      <c r="D25" s="284" t="s">
        <v>25</v>
      </c>
      <c r="E25" s="285"/>
      <c r="F25" s="285"/>
      <c r="G25" s="286"/>
    </row>
    <row r="26" spans="1:7" ht="27" customHeight="1">
      <c r="A26" s="271" t="s">
        <v>26</v>
      </c>
      <c r="B26" s="272"/>
      <c r="C26" s="272"/>
      <c r="D26" s="272"/>
      <c r="E26" s="272"/>
      <c r="F26" s="272"/>
      <c r="G26" s="273"/>
    </row>
    <row r="27" spans="1:7" ht="26.45" customHeight="1">
      <c r="A27" s="274" t="s">
        <v>27</v>
      </c>
      <c r="B27" s="275"/>
      <c r="C27" s="275"/>
      <c r="D27" s="275"/>
      <c r="E27" s="275"/>
      <c r="F27" s="275"/>
      <c r="G27" s="276"/>
    </row>
  </sheetData>
  <mergeCells count="23">
    <mergeCell ref="A26:G26"/>
    <mergeCell ref="A27:G27"/>
    <mergeCell ref="B3:C3"/>
    <mergeCell ref="B4:C4"/>
    <mergeCell ref="B5:C5"/>
    <mergeCell ref="A23:B23"/>
    <mergeCell ref="D23:G23"/>
    <mergeCell ref="A24:B24"/>
    <mergeCell ref="D24:G24"/>
    <mergeCell ref="A25:B25"/>
    <mergeCell ref="D25:G25"/>
    <mergeCell ref="A18:F18"/>
    <mergeCell ref="A19:F19"/>
    <mergeCell ref="A20:F20"/>
    <mergeCell ref="A21:G21"/>
    <mergeCell ref="A22:B22"/>
    <mergeCell ref="D22:G22"/>
    <mergeCell ref="B1:G1"/>
    <mergeCell ref="A2:G2"/>
    <mergeCell ref="D3:G3"/>
    <mergeCell ref="D4:G4"/>
    <mergeCell ref="D5:G5"/>
    <mergeCell ref="A17:F17"/>
  </mergeCells>
  <pageMargins left="0.7" right="0.7" top="0.75" bottom="0.75" header="0.3" footer="0.3"/>
  <pageSetup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0735-C98C-4418-B23D-FBED81D95504}">
  <dimension ref="A1:F33"/>
  <sheetViews>
    <sheetView workbookViewId="0">
      <selection activeCell="F9" sqref="F9"/>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v>
      </c>
      <c r="C3" s="254" t="s">
        <v>645</v>
      </c>
      <c r="D3" s="255"/>
      <c r="E3" s="255"/>
      <c r="F3" s="256"/>
    </row>
    <row r="4" spans="1:6" ht="29.25" customHeight="1">
      <c r="A4" s="6"/>
      <c r="B4" s="7" t="s">
        <v>62</v>
      </c>
      <c r="C4" s="254" t="s">
        <v>640</v>
      </c>
      <c r="D4" s="255"/>
      <c r="E4" s="255"/>
      <c r="F4" s="256"/>
    </row>
    <row r="5" spans="1:6" ht="16.5" customHeight="1">
      <c r="A5" s="8"/>
      <c r="B5" s="2" t="s">
        <v>63</v>
      </c>
      <c r="C5" s="257" t="s">
        <v>9</v>
      </c>
      <c r="D5" s="258"/>
      <c r="E5" s="258"/>
      <c r="F5" s="259"/>
    </row>
    <row r="6" spans="1:6" ht="16.5">
      <c r="A6" s="9" t="s">
        <v>3</v>
      </c>
      <c r="B6" s="9" t="s">
        <v>4</v>
      </c>
      <c r="C6" s="9" t="s">
        <v>5</v>
      </c>
      <c r="D6" s="9" t="s">
        <v>10</v>
      </c>
      <c r="E6" s="9" t="s">
        <v>11</v>
      </c>
      <c r="F6" s="9" t="s">
        <v>12</v>
      </c>
    </row>
    <row r="7" spans="1:6" ht="25.9" customHeight="1">
      <c r="A7" s="74"/>
      <c r="B7" s="74"/>
      <c r="C7" s="75"/>
      <c r="D7" s="75"/>
      <c r="E7" s="74"/>
      <c r="F7" s="74"/>
    </row>
    <row r="8" spans="1:6" ht="15" customHeight="1">
      <c r="A8" s="150">
        <v>1</v>
      </c>
      <c r="B8" s="114" t="s">
        <v>641</v>
      </c>
      <c r="C8" s="68">
        <v>15</v>
      </c>
      <c r="D8" s="68" t="s">
        <v>13</v>
      </c>
      <c r="E8" s="69">
        <v>5000</v>
      </c>
      <c r="F8" s="69">
        <f>C8*E8</f>
        <v>75000</v>
      </c>
    </row>
    <row r="9" spans="1:6" ht="15" customHeight="1">
      <c r="A9" s="6"/>
      <c r="B9" s="151" t="s">
        <v>634</v>
      </c>
      <c r="C9" s="68"/>
      <c r="D9" s="68"/>
      <c r="E9" s="69"/>
      <c r="F9" s="69"/>
    </row>
    <row r="10" spans="1:6" ht="15" customHeight="1">
      <c r="A10" s="6"/>
      <c r="B10" s="114" t="s">
        <v>635</v>
      </c>
      <c r="C10" s="68"/>
      <c r="D10" s="68"/>
      <c r="E10" s="69"/>
      <c r="F10" s="69"/>
    </row>
    <row r="11" spans="1:6" ht="15" customHeight="1">
      <c r="A11" s="6"/>
      <c r="B11" s="114"/>
      <c r="C11" s="68"/>
      <c r="D11" s="68"/>
      <c r="E11" s="69"/>
      <c r="F11" s="69"/>
    </row>
    <row r="12" spans="1:6" ht="15" customHeight="1">
      <c r="A12" s="6">
        <v>2</v>
      </c>
      <c r="B12" s="114" t="s">
        <v>642</v>
      </c>
      <c r="C12" s="68">
        <v>15</v>
      </c>
      <c r="D12" s="68" t="s">
        <v>13</v>
      </c>
      <c r="E12" s="69">
        <v>4000</v>
      </c>
      <c r="F12" s="69">
        <f>C12*E12</f>
        <v>60000</v>
      </c>
    </row>
    <row r="13" spans="1:6" ht="15" customHeight="1">
      <c r="A13" s="6"/>
      <c r="B13" s="151" t="s">
        <v>643</v>
      </c>
      <c r="C13" s="68"/>
      <c r="D13" s="68"/>
      <c r="E13" s="69"/>
      <c r="F13" s="69"/>
    </row>
    <row r="14" spans="1:6" ht="15" customHeight="1">
      <c r="A14" s="6"/>
      <c r="B14" s="114" t="s">
        <v>635</v>
      </c>
      <c r="C14" s="68"/>
      <c r="D14" s="68"/>
      <c r="E14" s="69"/>
      <c r="F14" s="69"/>
    </row>
    <row r="15" spans="1:6" ht="15" customHeight="1">
      <c r="A15" s="6"/>
      <c r="B15" s="151"/>
      <c r="C15" s="68"/>
      <c r="D15" s="68"/>
      <c r="E15" s="69"/>
      <c r="F15" s="69"/>
    </row>
    <row r="16" spans="1:6" ht="15" customHeight="1">
      <c r="A16" s="6">
        <v>3</v>
      </c>
      <c r="B16" s="114" t="s">
        <v>644</v>
      </c>
      <c r="C16" s="68">
        <v>15</v>
      </c>
      <c r="D16" s="68" t="s">
        <v>13</v>
      </c>
      <c r="E16" s="69">
        <v>4000</v>
      </c>
      <c r="F16" s="69">
        <f>C16*E16</f>
        <v>60000</v>
      </c>
    </row>
    <row r="17" spans="1:6" ht="15" customHeight="1">
      <c r="A17" s="6"/>
      <c r="B17" s="151" t="s">
        <v>636</v>
      </c>
      <c r="C17" s="67"/>
      <c r="D17" s="67"/>
      <c r="E17" s="78"/>
      <c r="F17" s="69"/>
    </row>
    <row r="18" spans="1:6" ht="15" customHeight="1">
      <c r="A18" s="6"/>
      <c r="B18" s="114" t="s">
        <v>637</v>
      </c>
      <c r="C18" s="67"/>
      <c r="D18" s="67"/>
      <c r="E18" s="78"/>
      <c r="F18" s="69"/>
    </row>
    <row r="19" spans="1:6" ht="15" customHeight="1">
      <c r="A19" s="6"/>
      <c r="B19" s="114"/>
      <c r="C19" s="67"/>
      <c r="D19" s="67"/>
      <c r="E19" s="78"/>
      <c r="F19" s="69"/>
    </row>
    <row r="20" spans="1:6" ht="13.7" customHeight="1">
      <c r="A20" s="6"/>
      <c r="B20" s="152" t="s">
        <v>638</v>
      </c>
      <c r="C20" s="67"/>
      <c r="D20" s="67"/>
      <c r="E20" s="78"/>
      <c r="F20" s="69"/>
    </row>
    <row r="21" spans="1:6" ht="15" customHeight="1">
      <c r="A21" s="6"/>
      <c r="B21" s="50"/>
      <c r="C21" s="67"/>
      <c r="D21" s="67"/>
      <c r="E21" s="78"/>
      <c r="F21" s="69"/>
    </row>
    <row r="22" spans="1:6" ht="15" customHeight="1">
      <c r="A22" s="104"/>
      <c r="B22" s="111"/>
      <c r="C22" s="80"/>
      <c r="D22" s="80"/>
      <c r="E22" s="106"/>
      <c r="F22" s="82"/>
    </row>
    <row r="23" spans="1:6" ht="15.75">
      <c r="A23" s="246" t="s">
        <v>14</v>
      </c>
      <c r="B23" s="247"/>
      <c r="C23" s="247"/>
      <c r="D23" s="247"/>
      <c r="E23" s="248"/>
      <c r="F23" s="83">
        <f>SUM(F8:F22)</f>
        <v>195000</v>
      </c>
    </row>
    <row r="24" spans="1:6" ht="15.75">
      <c r="A24" s="246" t="s">
        <v>15</v>
      </c>
      <c r="B24" s="247"/>
      <c r="C24" s="247"/>
      <c r="D24" s="247"/>
      <c r="E24" s="248"/>
      <c r="F24" s="83">
        <f>+F23*9%</f>
        <v>17550</v>
      </c>
    </row>
    <row r="25" spans="1:6" ht="15.75">
      <c r="A25" s="246" t="s">
        <v>16</v>
      </c>
      <c r="B25" s="247"/>
      <c r="C25" s="247"/>
      <c r="D25" s="247"/>
      <c r="E25" s="248"/>
      <c r="F25" s="83">
        <f>+F23*9%</f>
        <v>17550</v>
      </c>
    </row>
    <row r="26" spans="1:6" ht="17.45" customHeight="1">
      <c r="A26" s="260" t="s">
        <v>17</v>
      </c>
      <c r="B26" s="261"/>
      <c r="C26" s="261"/>
      <c r="D26" s="261"/>
      <c r="E26" s="262"/>
      <c r="F26" s="84">
        <f>SUM(F23:F25)</f>
        <v>230100</v>
      </c>
    </row>
    <row r="27" spans="1:6" ht="33" customHeight="1">
      <c r="A27" s="263" t="s">
        <v>639</v>
      </c>
      <c r="B27" s="264"/>
      <c r="C27" s="264"/>
      <c r="D27" s="264"/>
      <c r="E27" s="264"/>
      <c r="F27" s="265"/>
    </row>
    <row r="28" spans="1:6" ht="15" customHeight="1">
      <c r="A28" s="266" t="s">
        <v>18</v>
      </c>
      <c r="B28" s="267"/>
      <c r="C28" s="268" t="s">
        <v>19</v>
      </c>
      <c r="D28" s="269"/>
      <c r="E28" s="269"/>
      <c r="F28" s="270"/>
    </row>
    <row r="29" spans="1:6" ht="15" customHeight="1">
      <c r="A29" s="277" t="s">
        <v>20</v>
      </c>
      <c r="B29" s="278"/>
      <c r="C29" s="279" t="s">
        <v>21</v>
      </c>
      <c r="D29" s="278"/>
      <c r="E29" s="278"/>
      <c r="F29" s="280"/>
    </row>
    <row r="30" spans="1:6" ht="15" customHeight="1">
      <c r="A30" s="277" t="s">
        <v>22</v>
      </c>
      <c r="B30" s="278"/>
      <c r="C30" s="279" t="s">
        <v>23</v>
      </c>
      <c r="D30" s="278"/>
      <c r="E30" s="278"/>
      <c r="F30" s="280"/>
    </row>
    <row r="31" spans="1:6" ht="15" customHeight="1">
      <c r="A31" s="284" t="s">
        <v>24</v>
      </c>
      <c r="B31" s="285"/>
      <c r="C31" s="284" t="s">
        <v>25</v>
      </c>
      <c r="D31" s="285"/>
      <c r="E31" s="285"/>
      <c r="F31" s="286"/>
    </row>
    <row r="32" spans="1:6" ht="27" customHeight="1">
      <c r="A32" s="271" t="s">
        <v>26</v>
      </c>
      <c r="B32" s="272"/>
      <c r="C32" s="272"/>
      <c r="D32" s="272"/>
      <c r="E32" s="272"/>
      <c r="F32" s="273"/>
    </row>
    <row r="33" spans="1:6" ht="26.45" customHeight="1">
      <c r="A33" s="274" t="s">
        <v>27</v>
      </c>
      <c r="B33" s="275"/>
      <c r="C33" s="275"/>
      <c r="D33" s="275"/>
      <c r="E33" s="275"/>
      <c r="F33" s="276"/>
    </row>
  </sheetData>
  <mergeCells count="20">
    <mergeCell ref="A23:E23"/>
    <mergeCell ref="B1:F1"/>
    <mergeCell ref="A2:F2"/>
    <mergeCell ref="C3:F3"/>
    <mergeCell ref="C4:F4"/>
    <mergeCell ref="C5:F5"/>
    <mergeCell ref="A24:E24"/>
    <mergeCell ref="A25:E25"/>
    <mergeCell ref="A26:E26"/>
    <mergeCell ref="A27:F27"/>
    <mergeCell ref="A28:B28"/>
    <mergeCell ref="C28:F28"/>
    <mergeCell ref="A32:F32"/>
    <mergeCell ref="A33:F33"/>
    <mergeCell ref="A29:B29"/>
    <mergeCell ref="C29:F29"/>
    <mergeCell ref="A30:B30"/>
    <mergeCell ref="C30:F30"/>
    <mergeCell ref="A31:B31"/>
    <mergeCell ref="C31:F31"/>
  </mergeCell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AAC8-9E0C-4857-9F1D-5C31FB5ED8C2}">
  <dimension ref="A1:F28"/>
  <sheetViews>
    <sheetView workbookViewId="0">
      <selection activeCell="J5" sqref="J5"/>
    </sheetView>
  </sheetViews>
  <sheetFormatPr defaultRowHeight="15"/>
  <cols>
    <col min="1" max="1" width="5.5703125" customWidth="1"/>
    <col min="2" max="2" width="50.710937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632</v>
      </c>
      <c r="D3" s="255"/>
      <c r="E3" s="255"/>
      <c r="F3" s="256"/>
    </row>
    <row r="4" spans="1:6" ht="29.25" customHeight="1">
      <c r="A4" s="6"/>
      <c r="B4" s="7" t="s">
        <v>8</v>
      </c>
      <c r="C4" s="254" t="s">
        <v>624</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9.85" customHeight="1">
      <c r="A7" s="74"/>
      <c r="B7" s="146"/>
      <c r="C7" s="75"/>
      <c r="D7" s="75"/>
      <c r="E7" s="74"/>
      <c r="F7" s="74"/>
    </row>
    <row r="8" spans="1:6" ht="17.100000000000001" customHeight="1">
      <c r="A8" s="52">
        <v>1</v>
      </c>
      <c r="B8" s="147" t="s">
        <v>627</v>
      </c>
      <c r="C8" s="3">
        <v>300</v>
      </c>
      <c r="D8" s="3" t="s">
        <v>13</v>
      </c>
      <c r="E8" s="12">
        <v>4.5999999999999996</v>
      </c>
      <c r="F8" s="12">
        <f>C8*E8</f>
        <v>1380</v>
      </c>
    </row>
    <row r="9" spans="1:6" ht="17.100000000000001" customHeight="1">
      <c r="A9" s="52">
        <v>2</v>
      </c>
      <c r="B9" s="147" t="s">
        <v>628</v>
      </c>
      <c r="C9" s="3">
        <v>300</v>
      </c>
      <c r="D9" s="3" t="s">
        <v>13</v>
      </c>
      <c r="E9" s="12">
        <v>2.76</v>
      </c>
      <c r="F9" s="12">
        <f>C9*E9</f>
        <v>827.99999999999989</v>
      </c>
    </row>
    <row r="10" spans="1:6" ht="17.100000000000001" customHeight="1">
      <c r="A10" s="52">
        <v>3</v>
      </c>
      <c r="B10" s="147" t="s">
        <v>629</v>
      </c>
      <c r="C10" s="3">
        <v>300</v>
      </c>
      <c r="D10" s="3" t="s">
        <v>13</v>
      </c>
      <c r="E10" s="12">
        <v>3</v>
      </c>
      <c r="F10" s="12">
        <f>C10*E10</f>
        <v>900</v>
      </c>
    </row>
    <row r="11" spans="1:6" ht="17.100000000000001" customHeight="1">
      <c r="A11" s="52">
        <v>4</v>
      </c>
      <c r="B11" s="147" t="s">
        <v>630</v>
      </c>
      <c r="C11" s="3">
        <v>200</v>
      </c>
      <c r="D11" s="3" t="s">
        <v>13</v>
      </c>
      <c r="E11" s="12">
        <v>6.44</v>
      </c>
      <c r="F11" s="12">
        <f>C11*E11</f>
        <v>1288</v>
      </c>
    </row>
    <row r="12" spans="1:6" ht="17.100000000000001" customHeight="1">
      <c r="A12" s="10"/>
      <c r="B12" s="91"/>
      <c r="C12" s="89"/>
      <c r="D12" s="89"/>
      <c r="E12" s="90"/>
      <c r="F12" s="90"/>
    </row>
    <row r="13" spans="1:6" ht="17.100000000000001" customHeight="1">
      <c r="A13" s="10"/>
      <c r="B13" s="91"/>
      <c r="C13" s="89"/>
      <c r="D13" s="89"/>
      <c r="E13" s="90"/>
      <c r="F13" s="90"/>
    </row>
    <row r="14" spans="1:6" ht="17.100000000000001" customHeight="1">
      <c r="A14" s="10"/>
      <c r="B14" s="91"/>
      <c r="C14" s="89"/>
      <c r="D14" s="89"/>
      <c r="E14" s="90"/>
      <c r="F14" s="90"/>
    </row>
    <row r="15" spans="1:6" ht="17.100000000000001" customHeight="1">
      <c r="A15" s="10"/>
      <c r="B15" s="91"/>
      <c r="C15" s="89"/>
      <c r="D15" s="89"/>
      <c r="E15" s="90"/>
      <c r="F15" s="90"/>
    </row>
    <row r="16" spans="1:6" ht="17.100000000000001" customHeight="1">
      <c r="A16" s="10"/>
      <c r="B16" s="91"/>
      <c r="C16" s="89"/>
      <c r="D16" s="89"/>
      <c r="E16" s="90"/>
      <c r="F16" s="90"/>
    </row>
    <row r="17" spans="1:6" ht="17.100000000000001" customHeight="1">
      <c r="A17" s="21"/>
      <c r="B17" s="92"/>
      <c r="C17" s="93"/>
      <c r="D17" s="93"/>
      <c r="E17" s="94"/>
      <c r="F17" s="94"/>
    </row>
    <row r="18" spans="1:6" ht="15.75">
      <c r="A18" s="246" t="s">
        <v>14</v>
      </c>
      <c r="B18" s="247"/>
      <c r="C18" s="247"/>
      <c r="D18" s="247"/>
      <c r="E18" s="248"/>
      <c r="F18" s="83">
        <f>SUM(F8:F17)</f>
        <v>4396</v>
      </c>
    </row>
    <row r="19" spans="1:6" ht="15.75">
      <c r="A19" s="246" t="s">
        <v>15</v>
      </c>
      <c r="B19" s="247"/>
      <c r="C19" s="247"/>
      <c r="D19" s="247"/>
      <c r="E19" s="248"/>
      <c r="F19" s="83">
        <f>+F18*9%</f>
        <v>395.64</v>
      </c>
    </row>
    <row r="20" spans="1:6" ht="15.75">
      <c r="A20" s="246" t="s">
        <v>16</v>
      </c>
      <c r="B20" s="247"/>
      <c r="C20" s="247"/>
      <c r="D20" s="247"/>
      <c r="E20" s="248"/>
      <c r="F20" s="83">
        <f>+F18*9%</f>
        <v>395.64</v>
      </c>
    </row>
    <row r="21" spans="1:6" ht="17.45" customHeight="1">
      <c r="A21" s="260" t="s">
        <v>17</v>
      </c>
      <c r="B21" s="261"/>
      <c r="C21" s="261"/>
      <c r="D21" s="261"/>
      <c r="E21" s="262"/>
      <c r="F21" s="84">
        <f>SUM(F18:F20)</f>
        <v>5187.2800000000007</v>
      </c>
    </row>
    <row r="22" spans="1:6" ht="33" customHeight="1">
      <c r="A22" s="263" t="s">
        <v>631</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18:E18"/>
    <mergeCell ref="B1:F1"/>
    <mergeCell ref="A2:F2"/>
    <mergeCell ref="C3:F3"/>
    <mergeCell ref="C4:F4"/>
    <mergeCell ref="C5:F5"/>
    <mergeCell ref="A19:E19"/>
    <mergeCell ref="A20:E20"/>
    <mergeCell ref="A21:E21"/>
    <mergeCell ref="A22:F22"/>
    <mergeCell ref="A23:B23"/>
    <mergeCell ref="C23:F23"/>
    <mergeCell ref="A27:F27"/>
    <mergeCell ref="A28:F28"/>
    <mergeCell ref="A24:B24"/>
    <mergeCell ref="C24:F24"/>
    <mergeCell ref="A25:B25"/>
    <mergeCell ref="C25:F25"/>
    <mergeCell ref="A26:B26"/>
    <mergeCell ref="C26:F26"/>
  </mergeCell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1D8B7-9168-4D1E-AFDA-F543643E13E6}">
  <dimension ref="A1:F28"/>
  <sheetViews>
    <sheetView workbookViewId="0">
      <selection activeCell="J11" sqref="J11"/>
    </sheetView>
  </sheetViews>
  <sheetFormatPr defaultRowHeight="15"/>
  <cols>
    <col min="1" max="1" width="5.5703125" customWidth="1"/>
    <col min="2" max="2" width="50.710937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623</v>
      </c>
      <c r="D3" s="255"/>
      <c r="E3" s="255"/>
      <c r="F3" s="256"/>
    </row>
    <row r="4" spans="1:6" ht="29.25" customHeight="1">
      <c r="A4" s="6"/>
      <c r="B4" s="7" t="s">
        <v>8</v>
      </c>
      <c r="C4" s="254" t="s">
        <v>624</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9.85" customHeight="1">
      <c r="A7" s="74"/>
      <c r="B7" s="146" t="s">
        <v>626</v>
      </c>
      <c r="C7" s="75"/>
      <c r="D7" s="75"/>
      <c r="E7" s="74"/>
      <c r="F7" s="74"/>
    </row>
    <row r="8" spans="1:6" ht="17.100000000000001" customHeight="1">
      <c r="A8" s="10">
        <v>1</v>
      </c>
      <c r="B8" s="88" t="s">
        <v>404</v>
      </c>
      <c r="C8" s="89">
        <v>2</v>
      </c>
      <c r="D8" s="89" t="s">
        <v>13</v>
      </c>
      <c r="E8" s="90">
        <v>3500</v>
      </c>
      <c r="F8" s="90">
        <f>C8*E8</f>
        <v>7000</v>
      </c>
    </row>
    <row r="9" spans="1:6" ht="17.100000000000001" customHeight="1">
      <c r="A9" s="10"/>
      <c r="B9" s="91" t="s">
        <v>405</v>
      </c>
      <c r="C9" s="89"/>
      <c r="D9" s="89"/>
      <c r="E9" s="90"/>
      <c r="F9" s="90"/>
    </row>
    <row r="10" spans="1:6" ht="17.100000000000001" customHeight="1">
      <c r="A10" s="10">
        <v>2</v>
      </c>
      <c r="B10" s="88" t="s">
        <v>406</v>
      </c>
      <c r="C10" s="89">
        <v>1</v>
      </c>
      <c r="D10" s="89" t="s">
        <v>60</v>
      </c>
      <c r="E10" s="90">
        <v>1000</v>
      </c>
      <c r="F10" s="90">
        <f>C10*E10</f>
        <v>1000</v>
      </c>
    </row>
    <row r="11" spans="1:6" ht="17.100000000000001" customHeight="1">
      <c r="A11" s="10">
        <v>3</v>
      </c>
      <c r="B11" s="88" t="s">
        <v>622</v>
      </c>
      <c r="C11" s="89">
        <v>1</v>
      </c>
      <c r="D11" s="89" t="s">
        <v>60</v>
      </c>
      <c r="E11" s="90">
        <v>3000</v>
      </c>
      <c r="F11" s="90">
        <f>C11*E11</f>
        <v>3000</v>
      </c>
    </row>
    <row r="12" spans="1:6" ht="17.100000000000001" customHeight="1">
      <c r="A12" s="10"/>
      <c r="B12" s="91"/>
      <c r="C12" s="89"/>
      <c r="D12" s="89"/>
      <c r="E12" s="90"/>
      <c r="F12" s="90"/>
    </row>
    <row r="13" spans="1:6" ht="17.100000000000001" customHeight="1">
      <c r="A13" s="10"/>
      <c r="B13" s="91"/>
      <c r="C13" s="89"/>
      <c r="D13" s="89"/>
      <c r="E13" s="90"/>
      <c r="F13" s="90"/>
    </row>
    <row r="14" spans="1:6" ht="17.100000000000001" customHeight="1">
      <c r="A14" s="10"/>
      <c r="B14" s="91"/>
      <c r="C14" s="89"/>
      <c r="D14" s="89"/>
      <c r="E14" s="90"/>
      <c r="F14" s="90"/>
    </row>
    <row r="15" spans="1:6" ht="17.100000000000001" customHeight="1">
      <c r="A15" s="10"/>
      <c r="B15" s="91"/>
      <c r="C15" s="89"/>
      <c r="D15" s="89"/>
      <c r="E15" s="90"/>
      <c r="F15" s="90"/>
    </row>
    <row r="16" spans="1:6" ht="17.100000000000001" customHeight="1">
      <c r="A16" s="10"/>
      <c r="B16" s="91"/>
      <c r="C16" s="89"/>
      <c r="D16" s="89"/>
      <c r="E16" s="90"/>
      <c r="F16" s="90"/>
    </row>
    <row r="17" spans="1:6" ht="17.100000000000001" customHeight="1">
      <c r="A17" s="21"/>
      <c r="B17" s="92"/>
      <c r="C17" s="93"/>
      <c r="D17" s="93"/>
      <c r="E17" s="94"/>
      <c r="F17" s="94"/>
    </row>
    <row r="18" spans="1:6" ht="15.75">
      <c r="A18" s="246" t="s">
        <v>14</v>
      </c>
      <c r="B18" s="247"/>
      <c r="C18" s="247"/>
      <c r="D18" s="247"/>
      <c r="E18" s="248"/>
      <c r="F18" s="83">
        <f>SUM(F8:F17)</f>
        <v>11000</v>
      </c>
    </row>
    <row r="19" spans="1:6" ht="15.75">
      <c r="A19" s="246" t="s">
        <v>15</v>
      </c>
      <c r="B19" s="247"/>
      <c r="C19" s="247"/>
      <c r="D19" s="247"/>
      <c r="E19" s="248"/>
      <c r="F19" s="83">
        <f>+F18*9%</f>
        <v>990</v>
      </c>
    </row>
    <row r="20" spans="1:6" ht="15.75">
      <c r="A20" s="246" t="s">
        <v>16</v>
      </c>
      <c r="B20" s="247"/>
      <c r="C20" s="247"/>
      <c r="D20" s="247"/>
      <c r="E20" s="248"/>
      <c r="F20" s="83">
        <f>+F18*9%</f>
        <v>990</v>
      </c>
    </row>
    <row r="21" spans="1:6" ht="17.45" customHeight="1">
      <c r="A21" s="260" t="s">
        <v>17</v>
      </c>
      <c r="B21" s="261"/>
      <c r="C21" s="261"/>
      <c r="D21" s="261"/>
      <c r="E21" s="262"/>
      <c r="F21" s="84">
        <f>SUM(F18:F20)</f>
        <v>12980</v>
      </c>
    </row>
    <row r="22" spans="1:6" ht="33" customHeight="1">
      <c r="A22" s="263" t="s">
        <v>625</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FD4D-264C-4530-9317-16B7CDBB9493}">
  <dimension ref="A1:F32"/>
  <sheetViews>
    <sheetView workbookViewId="0">
      <selection activeCell="J6" sqref="J6"/>
    </sheetView>
  </sheetViews>
  <sheetFormatPr defaultRowHeight="15"/>
  <cols>
    <col min="1" max="1" width="5.5703125" customWidth="1"/>
    <col min="2" max="2" width="47.42578125" customWidth="1"/>
    <col min="3" max="3" width="5.28515625" customWidth="1"/>
    <col min="4" max="4" width="6.140625" customWidth="1"/>
    <col min="5" max="5" width="11.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618</v>
      </c>
      <c r="C3" s="254" t="s">
        <v>620</v>
      </c>
      <c r="D3" s="255"/>
      <c r="E3" s="255"/>
      <c r="F3" s="256"/>
    </row>
    <row r="4" spans="1:6" ht="29.25" customHeight="1">
      <c r="A4" s="6"/>
      <c r="B4" s="7" t="s">
        <v>619</v>
      </c>
      <c r="C4" s="254" t="s">
        <v>607</v>
      </c>
      <c r="D4" s="255"/>
      <c r="E4" s="255"/>
      <c r="F4" s="256"/>
    </row>
    <row r="5" spans="1:6" ht="16.5" customHeight="1">
      <c r="A5" s="8"/>
      <c r="B5" s="2"/>
      <c r="C5" s="257" t="s">
        <v>9</v>
      </c>
      <c r="D5" s="258"/>
      <c r="E5" s="258"/>
      <c r="F5" s="259"/>
    </row>
    <row r="6" spans="1:6" ht="16.5">
      <c r="A6" s="9" t="s">
        <v>3</v>
      </c>
      <c r="B6" s="9" t="s">
        <v>4</v>
      </c>
      <c r="C6" s="9" t="s">
        <v>5</v>
      </c>
      <c r="D6" s="9" t="s">
        <v>10</v>
      </c>
      <c r="E6" s="9" t="s">
        <v>11</v>
      </c>
      <c r="F6" s="9" t="s">
        <v>12</v>
      </c>
    </row>
    <row r="7" spans="1:6" ht="25.9" customHeight="1">
      <c r="A7" s="74"/>
      <c r="B7" s="74"/>
      <c r="C7" s="75"/>
      <c r="D7" s="75"/>
      <c r="E7" s="74"/>
      <c r="F7" s="74"/>
    </row>
    <row r="8" spans="1:6" ht="15" customHeight="1">
      <c r="A8" s="138">
        <v>1</v>
      </c>
      <c r="B8" s="139" t="s">
        <v>614</v>
      </c>
      <c r="C8" s="140">
        <v>1</v>
      </c>
      <c r="D8" s="140" t="s">
        <v>154</v>
      </c>
      <c r="E8" s="141">
        <v>36500</v>
      </c>
      <c r="F8" s="141">
        <f>C8*E8</f>
        <v>36500</v>
      </c>
    </row>
    <row r="9" spans="1:6" ht="15" customHeight="1">
      <c r="A9" s="138"/>
      <c r="B9" s="139" t="s">
        <v>617</v>
      </c>
      <c r="C9" s="140"/>
      <c r="D9" s="140"/>
      <c r="E9" s="141"/>
      <c r="F9" s="141"/>
    </row>
    <row r="10" spans="1:6" ht="15" customHeight="1">
      <c r="A10" s="142"/>
      <c r="B10" s="143" t="s">
        <v>616</v>
      </c>
      <c r="C10" s="140"/>
      <c r="D10" s="140"/>
      <c r="E10" s="141"/>
      <c r="F10" s="141"/>
    </row>
    <row r="11" spans="1:6" ht="15" customHeight="1">
      <c r="A11" s="142"/>
      <c r="B11" s="139" t="s">
        <v>615</v>
      </c>
      <c r="C11" s="140"/>
      <c r="D11" s="140"/>
      <c r="E11" s="141"/>
      <c r="F11" s="141"/>
    </row>
    <row r="12" spans="1:6" ht="15" customHeight="1">
      <c r="A12" s="142"/>
      <c r="B12" s="139"/>
      <c r="C12" s="140"/>
      <c r="D12" s="140"/>
      <c r="E12" s="141"/>
      <c r="F12" s="141"/>
    </row>
    <row r="13" spans="1:6" ht="15" customHeight="1">
      <c r="A13" s="142"/>
      <c r="B13" s="144"/>
      <c r="C13" s="140"/>
      <c r="D13" s="140"/>
      <c r="E13" s="141"/>
      <c r="F13" s="141"/>
    </row>
    <row r="14" spans="1:6" ht="15" customHeight="1">
      <c r="A14" s="142"/>
      <c r="B14" s="145"/>
      <c r="C14" s="140"/>
      <c r="D14" s="140"/>
      <c r="E14" s="141"/>
      <c r="F14" s="141"/>
    </row>
    <row r="15" spans="1:6" ht="15" customHeight="1">
      <c r="A15" s="6"/>
      <c r="B15" s="102"/>
      <c r="C15" s="68"/>
      <c r="D15" s="68"/>
      <c r="E15" s="69"/>
      <c r="F15" s="69"/>
    </row>
    <row r="16" spans="1:6" ht="15" customHeight="1">
      <c r="A16" s="6"/>
      <c r="B16" s="85"/>
      <c r="C16" s="68"/>
      <c r="D16" s="68"/>
      <c r="E16" s="69"/>
      <c r="F16" s="69"/>
    </row>
    <row r="17" spans="1:6" ht="15" customHeight="1">
      <c r="A17" s="6"/>
      <c r="B17" s="77"/>
      <c r="C17" s="68"/>
      <c r="D17" s="68"/>
      <c r="E17" s="69"/>
      <c r="F17" s="69"/>
    </row>
    <row r="18" spans="1:6" ht="15" customHeight="1">
      <c r="A18" s="6"/>
      <c r="B18" s="103"/>
      <c r="C18" s="67"/>
      <c r="D18" s="67"/>
      <c r="E18" s="78"/>
      <c r="F18" s="69"/>
    </row>
    <row r="19" spans="1:6" ht="15" customHeight="1">
      <c r="A19" s="6"/>
      <c r="B19" s="50"/>
      <c r="C19" s="67"/>
      <c r="D19" s="67"/>
      <c r="E19" s="78"/>
      <c r="F19" s="69"/>
    </row>
    <row r="20" spans="1:6" ht="15" customHeight="1">
      <c r="A20" s="6"/>
      <c r="B20" s="108"/>
      <c r="C20" s="67"/>
      <c r="D20" s="67"/>
      <c r="E20" s="78"/>
      <c r="F20" s="69"/>
    </row>
    <row r="21" spans="1:6" ht="15" customHeight="1">
      <c r="A21" s="104"/>
      <c r="B21" s="111"/>
      <c r="C21" s="80"/>
      <c r="D21" s="80"/>
      <c r="E21" s="106"/>
      <c r="F21" s="82"/>
    </row>
    <row r="22" spans="1:6" ht="15.75">
      <c r="A22" s="246" t="s">
        <v>14</v>
      </c>
      <c r="B22" s="247"/>
      <c r="C22" s="247"/>
      <c r="D22" s="247"/>
      <c r="E22" s="248"/>
      <c r="F22" s="83">
        <f>SUM(F8:F21)</f>
        <v>36500</v>
      </c>
    </row>
    <row r="23" spans="1:6" ht="15.75">
      <c r="A23" s="246" t="s">
        <v>15</v>
      </c>
      <c r="B23" s="247"/>
      <c r="C23" s="247"/>
      <c r="D23" s="247"/>
      <c r="E23" s="248"/>
      <c r="F23" s="83">
        <f>+F22*9%</f>
        <v>3285</v>
      </c>
    </row>
    <row r="24" spans="1:6" ht="15.75">
      <c r="A24" s="246" t="s">
        <v>16</v>
      </c>
      <c r="B24" s="247"/>
      <c r="C24" s="247"/>
      <c r="D24" s="247"/>
      <c r="E24" s="248"/>
      <c r="F24" s="83">
        <f>+F22*9%</f>
        <v>3285</v>
      </c>
    </row>
    <row r="25" spans="1:6" ht="17.45" customHeight="1">
      <c r="A25" s="260" t="s">
        <v>17</v>
      </c>
      <c r="B25" s="261"/>
      <c r="C25" s="261"/>
      <c r="D25" s="261"/>
      <c r="E25" s="262"/>
      <c r="F25" s="84">
        <f>SUM(F22:F24)</f>
        <v>43070</v>
      </c>
    </row>
    <row r="26" spans="1:6" ht="33" customHeight="1">
      <c r="A26" s="263" t="s">
        <v>621</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0">
    <mergeCell ref="A22:E22"/>
    <mergeCell ref="B1:F1"/>
    <mergeCell ref="A2:F2"/>
    <mergeCell ref="C3:F3"/>
    <mergeCell ref="C4:F4"/>
    <mergeCell ref="C5:F5"/>
    <mergeCell ref="A23:E23"/>
    <mergeCell ref="A24:E24"/>
    <mergeCell ref="A25:E25"/>
    <mergeCell ref="A26:F26"/>
    <mergeCell ref="A27:B27"/>
    <mergeCell ref="C27:F27"/>
    <mergeCell ref="A31:F31"/>
    <mergeCell ref="A32:F32"/>
    <mergeCell ref="A28:B28"/>
    <mergeCell ref="C28:F28"/>
    <mergeCell ref="A29:B29"/>
    <mergeCell ref="C29:F29"/>
    <mergeCell ref="A30:B30"/>
    <mergeCell ref="C30:F30"/>
  </mergeCell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1ABBB-6B2A-4519-B3B1-CAA0CDF51093}">
  <dimension ref="A1:F31"/>
  <sheetViews>
    <sheetView workbookViewId="0">
      <selection activeCell="B12" sqref="B12"/>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v>
      </c>
      <c r="C3" s="254" t="s">
        <v>612</v>
      </c>
      <c r="D3" s="255"/>
      <c r="E3" s="255"/>
      <c r="F3" s="256"/>
    </row>
    <row r="4" spans="1:6" ht="29.25" customHeight="1">
      <c r="A4" s="6"/>
      <c r="B4" s="7" t="s">
        <v>62</v>
      </c>
      <c r="C4" s="254" t="s">
        <v>607</v>
      </c>
      <c r="D4" s="255"/>
      <c r="E4" s="255"/>
      <c r="F4" s="256"/>
    </row>
    <row r="5" spans="1:6" ht="16.5" customHeight="1">
      <c r="A5" s="8"/>
      <c r="B5" s="2" t="s">
        <v>63</v>
      </c>
      <c r="C5" s="257" t="s">
        <v>9</v>
      </c>
      <c r="D5" s="258"/>
      <c r="E5" s="258"/>
      <c r="F5" s="259"/>
    </row>
    <row r="6" spans="1:6" ht="16.5">
      <c r="A6" s="9" t="s">
        <v>3</v>
      </c>
      <c r="B6" s="9" t="s">
        <v>4</v>
      </c>
      <c r="C6" s="9" t="s">
        <v>5</v>
      </c>
      <c r="D6" s="9" t="s">
        <v>10</v>
      </c>
      <c r="E6" s="9" t="s">
        <v>11</v>
      </c>
      <c r="F6" s="9" t="s">
        <v>12</v>
      </c>
    </row>
    <row r="7" spans="1:6" ht="25.9" customHeight="1">
      <c r="A7" s="74"/>
      <c r="B7" s="74"/>
      <c r="C7" s="75"/>
      <c r="D7" s="75"/>
      <c r="E7" s="74"/>
      <c r="F7" s="74"/>
    </row>
    <row r="8" spans="1:6" ht="15" customHeight="1">
      <c r="A8" s="74">
        <v>1</v>
      </c>
      <c r="B8" s="86" t="s">
        <v>568</v>
      </c>
      <c r="C8" s="68">
        <v>1</v>
      </c>
      <c r="D8" s="68" t="s">
        <v>60</v>
      </c>
      <c r="E8" s="69">
        <v>1800</v>
      </c>
      <c r="F8" s="69">
        <f>C8*E8</f>
        <v>1800</v>
      </c>
    </row>
    <row r="9" spans="1:6" ht="15" customHeight="1">
      <c r="A9" s="6"/>
      <c r="B9" s="85" t="s">
        <v>567</v>
      </c>
      <c r="C9" s="68"/>
      <c r="D9" s="68"/>
      <c r="E9" s="69"/>
      <c r="F9" s="69"/>
    </row>
    <row r="10" spans="1:6" ht="15" customHeight="1">
      <c r="A10" s="6"/>
      <c r="B10" s="86" t="s">
        <v>569</v>
      </c>
      <c r="C10" s="68"/>
      <c r="D10" s="68"/>
      <c r="E10" s="69"/>
      <c r="F10" s="69"/>
    </row>
    <row r="11" spans="1:6" ht="15" customHeight="1">
      <c r="A11" s="6"/>
      <c r="B11" s="86"/>
      <c r="C11" s="68"/>
      <c r="D11" s="68"/>
      <c r="E11" s="69"/>
      <c r="F11" s="69"/>
    </row>
    <row r="12" spans="1:6" ht="15" customHeight="1">
      <c r="A12" s="6"/>
      <c r="B12" s="101"/>
      <c r="C12" s="68"/>
      <c r="D12" s="68"/>
      <c r="E12" s="69"/>
      <c r="F12" s="69"/>
    </row>
    <row r="13" spans="1:6" ht="15" customHeight="1">
      <c r="A13" s="6"/>
      <c r="B13" s="102"/>
      <c r="C13" s="68"/>
      <c r="D13" s="68"/>
      <c r="E13" s="69"/>
      <c r="F13" s="69"/>
    </row>
    <row r="14" spans="1:6" ht="15" customHeight="1">
      <c r="A14" s="6"/>
      <c r="B14" s="102"/>
      <c r="C14" s="68"/>
      <c r="D14" s="68"/>
      <c r="E14" s="69"/>
      <c r="F14" s="69"/>
    </row>
    <row r="15" spans="1:6" ht="15" customHeight="1">
      <c r="A15" s="6"/>
      <c r="B15" s="85"/>
      <c r="C15" s="68"/>
      <c r="D15" s="68"/>
      <c r="E15" s="69"/>
      <c r="F15" s="69"/>
    </row>
    <row r="16" spans="1:6" ht="15" customHeight="1">
      <c r="A16" s="6"/>
      <c r="B16" s="77"/>
      <c r="C16" s="68"/>
      <c r="D16" s="68"/>
      <c r="E16" s="69"/>
      <c r="F16" s="69"/>
    </row>
    <row r="17" spans="1:6" ht="15" customHeight="1">
      <c r="A17" s="6"/>
      <c r="B17" s="103"/>
      <c r="C17" s="67"/>
      <c r="D17" s="67"/>
      <c r="E17" s="78"/>
      <c r="F17" s="69"/>
    </row>
    <row r="18" spans="1:6" ht="15" customHeight="1">
      <c r="A18" s="6"/>
      <c r="B18" s="50"/>
      <c r="C18" s="67"/>
      <c r="D18" s="67"/>
      <c r="E18" s="78"/>
      <c r="F18" s="69"/>
    </row>
    <row r="19" spans="1:6" ht="15" customHeight="1">
      <c r="A19" s="6"/>
      <c r="B19" s="108"/>
      <c r="C19" s="67"/>
      <c r="D19" s="67"/>
      <c r="E19" s="78"/>
      <c r="F19" s="69"/>
    </row>
    <row r="20" spans="1:6" ht="15" customHeight="1">
      <c r="A20" s="104"/>
      <c r="B20" s="111"/>
      <c r="C20" s="80"/>
      <c r="D20" s="80"/>
      <c r="E20" s="106"/>
      <c r="F20" s="82"/>
    </row>
    <row r="21" spans="1:6" ht="15.75">
      <c r="A21" s="246" t="s">
        <v>14</v>
      </c>
      <c r="B21" s="247"/>
      <c r="C21" s="247"/>
      <c r="D21" s="247"/>
      <c r="E21" s="248"/>
      <c r="F21" s="83">
        <f>SUM(F8:F20)</f>
        <v>1800</v>
      </c>
    </row>
    <row r="22" spans="1:6" ht="15.75">
      <c r="A22" s="246" t="s">
        <v>15</v>
      </c>
      <c r="B22" s="247"/>
      <c r="C22" s="247"/>
      <c r="D22" s="247"/>
      <c r="E22" s="248"/>
      <c r="F22" s="83">
        <f>+F21*9%</f>
        <v>162</v>
      </c>
    </row>
    <row r="23" spans="1:6" ht="15.75">
      <c r="A23" s="246" t="s">
        <v>16</v>
      </c>
      <c r="B23" s="247"/>
      <c r="C23" s="247"/>
      <c r="D23" s="247"/>
      <c r="E23" s="248"/>
      <c r="F23" s="83">
        <f>+F21*9%</f>
        <v>162</v>
      </c>
    </row>
    <row r="24" spans="1:6" ht="17.45" customHeight="1">
      <c r="A24" s="260" t="s">
        <v>17</v>
      </c>
      <c r="B24" s="261"/>
      <c r="C24" s="261"/>
      <c r="D24" s="261"/>
      <c r="E24" s="262"/>
      <c r="F24" s="84">
        <f>SUM(F21:F23)</f>
        <v>2124</v>
      </c>
    </row>
    <row r="25" spans="1:6" ht="33" customHeight="1">
      <c r="A25" s="263" t="s">
        <v>613</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21:E21"/>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0C5F-43A8-4CBE-97DC-9322A868FA9F}">
  <dimension ref="A1:F30"/>
  <sheetViews>
    <sheetView workbookViewId="0">
      <selection activeCell="M1" sqref="M1"/>
    </sheetView>
  </sheetViews>
  <sheetFormatPr defaultRowHeight="15"/>
  <cols>
    <col min="1" max="1" width="5.5703125" customWidth="1"/>
    <col min="2" max="2" width="47.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606</v>
      </c>
      <c r="D3" s="255"/>
      <c r="E3" s="255"/>
      <c r="F3" s="256"/>
    </row>
    <row r="4" spans="1:6" ht="29.25" customHeight="1">
      <c r="A4" s="6"/>
      <c r="B4" s="7" t="s">
        <v>8</v>
      </c>
      <c r="C4" s="254" t="s">
        <v>607</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114" t="s">
        <v>608</v>
      </c>
      <c r="C8" s="68">
        <v>1</v>
      </c>
      <c r="D8" s="68" t="s">
        <v>13</v>
      </c>
      <c r="E8" s="69">
        <v>21300</v>
      </c>
      <c r="F8" s="69">
        <f>C8*E8</f>
        <v>21300</v>
      </c>
    </row>
    <row r="9" spans="1:6" ht="15.95" customHeight="1">
      <c r="A9" s="6">
        <v>2</v>
      </c>
      <c r="B9" s="115" t="s">
        <v>609</v>
      </c>
      <c r="C9" s="68">
        <v>1</v>
      </c>
      <c r="D9" s="68" t="s">
        <v>13</v>
      </c>
      <c r="E9" s="69">
        <v>4850</v>
      </c>
      <c r="F9" s="69">
        <f>C9*E9</f>
        <v>4850</v>
      </c>
    </row>
    <row r="10" spans="1:6" ht="15.95" customHeight="1">
      <c r="A10" s="6">
        <v>3</v>
      </c>
      <c r="B10" s="116" t="s">
        <v>610</v>
      </c>
      <c r="C10" s="68">
        <v>6</v>
      </c>
      <c r="D10" s="68" t="s">
        <v>13</v>
      </c>
      <c r="E10" s="69">
        <v>2100</v>
      </c>
      <c r="F10" s="69">
        <f>C10*E10</f>
        <v>12600</v>
      </c>
    </row>
    <row r="11" spans="1:6" ht="15.95" customHeight="1">
      <c r="A11" s="6"/>
      <c r="B11" s="116"/>
      <c r="C11" s="68"/>
      <c r="D11" s="68"/>
      <c r="E11" s="69"/>
      <c r="F11" s="69"/>
    </row>
    <row r="12" spans="1:6" ht="15.95" customHeight="1">
      <c r="A12" s="6"/>
      <c r="B12" s="102"/>
      <c r="C12" s="68"/>
      <c r="D12" s="68"/>
      <c r="E12" s="69"/>
      <c r="F12" s="69"/>
    </row>
    <row r="13" spans="1:6" ht="15.95" customHeight="1">
      <c r="A13" s="6"/>
      <c r="B13" s="102"/>
      <c r="C13" s="68"/>
      <c r="D13" s="68"/>
      <c r="E13" s="69"/>
      <c r="F13" s="69"/>
    </row>
    <row r="14" spans="1:6" ht="15.95" customHeight="1">
      <c r="A14" s="6"/>
      <c r="B14" s="102"/>
      <c r="C14" s="68"/>
      <c r="D14" s="68"/>
      <c r="E14" s="69"/>
      <c r="F14" s="69"/>
    </row>
    <row r="15" spans="1:6" ht="15.95" customHeight="1">
      <c r="A15" s="6"/>
      <c r="B15" s="102"/>
      <c r="C15" s="68"/>
      <c r="D15" s="68"/>
      <c r="E15" s="69"/>
      <c r="F15" s="69"/>
    </row>
    <row r="16" spans="1:6" ht="15.95" customHeight="1">
      <c r="A16" s="6"/>
      <c r="B16" s="15"/>
      <c r="C16" s="68"/>
      <c r="D16" s="68"/>
      <c r="E16" s="69"/>
      <c r="F16" s="69"/>
    </row>
    <row r="17" spans="1:6" ht="15.95" customHeight="1">
      <c r="A17" s="6"/>
      <c r="B17" s="107"/>
      <c r="C17" s="68"/>
      <c r="D17" s="68"/>
      <c r="E17" s="69"/>
      <c r="F17" s="69"/>
    </row>
    <row r="18" spans="1:6" ht="15.95" customHeight="1">
      <c r="A18" s="6"/>
      <c r="B18" s="85"/>
      <c r="C18" s="68"/>
      <c r="D18" s="68"/>
      <c r="E18" s="69"/>
      <c r="F18" s="69"/>
    </row>
    <row r="19" spans="1:6" ht="15.75">
      <c r="A19" s="79"/>
      <c r="B19" s="29"/>
      <c r="C19" s="80"/>
      <c r="D19" s="80"/>
      <c r="E19" s="81"/>
      <c r="F19" s="82"/>
    </row>
    <row r="20" spans="1:6" ht="15.75">
      <c r="A20" s="246" t="s">
        <v>14</v>
      </c>
      <c r="B20" s="247"/>
      <c r="C20" s="247"/>
      <c r="D20" s="247"/>
      <c r="E20" s="248"/>
      <c r="F20" s="83">
        <f>SUM(F8:F19)</f>
        <v>38750</v>
      </c>
    </row>
    <row r="21" spans="1:6" ht="15.75">
      <c r="A21" s="246" t="s">
        <v>15</v>
      </c>
      <c r="B21" s="247"/>
      <c r="C21" s="247"/>
      <c r="D21" s="247"/>
      <c r="E21" s="248"/>
      <c r="F21" s="83">
        <f>+F20*9%</f>
        <v>3487.5</v>
      </c>
    </row>
    <row r="22" spans="1:6" ht="15.75">
      <c r="A22" s="246" t="s">
        <v>16</v>
      </c>
      <c r="B22" s="247"/>
      <c r="C22" s="247"/>
      <c r="D22" s="247"/>
      <c r="E22" s="248"/>
      <c r="F22" s="83">
        <f>+F20*9%</f>
        <v>3487.5</v>
      </c>
    </row>
    <row r="23" spans="1:6" ht="17.45" customHeight="1">
      <c r="A23" s="260" t="s">
        <v>17</v>
      </c>
      <c r="B23" s="261"/>
      <c r="C23" s="261"/>
      <c r="D23" s="261"/>
      <c r="E23" s="262"/>
      <c r="F23" s="84">
        <f>SUM(F20:F22)</f>
        <v>45725</v>
      </c>
    </row>
    <row r="24" spans="1:6" ht="33" customHeight="1">
      <c r="A24" s="263" t="s">
        <v>611</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0:E20"/>
    <mergeCell ref="B1:F1"/>
    <mergeCell ref="A2:F2"/>
    <mergeCell ref="C3:F3"/>
    <mergeCell ref="C4:F4"/>
    <mergeCell ref="C5:F5"/>
    <mergeCell ref="A21:E21"/>
    <mergeCell ref="A22:E22"/>
    <mergeCell ref="A23:E23"/>
    <mergeCell ref="A24:F24"/>
    <mergeCell ref="A25:B25"/>
    <mergeCell ref="C25:F25"/>
    <mergeCell ref="A29:F29"/>
    <mergeCell ref="A30:F30"/>
    <mergeCell ref="A26:B26"/>
    <mergeCell ref="C26:F26"/>
    <mergeCell ref="A27:B27"/>
    <mergeCell ref="C27:F27"/>
    <mergeCell ref="A28:B28"/>
    <mergeCell ref="C28:F28"/>
  </mergeCell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F331-0C2C-4FE4-B15C-271D90082CD7}">
  <dimension ref="A1:J27"/>
  <sheetViews>
    <sheetView workbookViewId="0">
      <selection activeCell="I4" sqref="I4"/>
    </sheetView>
  </sheetViews>
  <sheetFormatPr defaultRowHeight="15"/>
  <cols>
    <col min="1" max="1" width="5.5703125" customWidth="1"/>
    <col min="2" max="2" width="48.5703125" customWidth="1"/>
    <col min="3" max="3" width="5.28515625" customWidth="1"/>
    <col min="4" max="4" width="6.140625" customWidth="1"/>
    <col min="5" max="5" width="11.140625" customWidth="1"/>
    <col min="6" max="6" width="10.85546875" customWidth="1"/>
  </cols>
  <sheetData>
    <row r="1" spans="1:10" ht="117" customHeight="1">
      <c r="A1" s="1"/>
      <c r="B1" s="290" t="s">
        <v>0</v>
      </c>
      <c r="C1" s="290"/>
      <c r="D1" s="290"/>
      <c r="E1" s="290"/>
      <c r="F1" s="291"/>
    </row>
    <row r="2" spans="1:10" ht="18" customHeight="1">
      <c r="A2" s="251" t="s">
        <v>6</v>
      </c>
      <c r="B2" s="252"/>
      <c r="C2" s="252"/>
      <c r="D2" s="252"/>
      <c r="E2" s="252"/>
      <c r="F2" s="253"/>
    </row>
    <row r="3" spans="1:10" ht="17.25">
      <c r="A3" s="4" t="s">
        <v>7</v>
      </c>
      <c r="B3" s="5" t="s">
        <v>490</v>
      </c>
      <c r="C3" s="254" t="s">
        <v>600</v>
      </c>
      <c r="D3" s="255"/>
      <c r="E3" s="255"/>
      <c r="F3" s="256"/>
    </row>
    <row r="4" spans="1:10" ht="29.25" customHeight="1">
      <c r="A4" s="6"/>
      <c r="B4" s="7" t="s">
        <v>491</v>
      </c>
      <c r="C4" s="254" t="s">
        <v>587</v>
      </c>
      <c r="D4" s="255"/>
      <c r="E4" s="255"/>
      <c r="F4" s="256"/>
      <c r="J4" s="113"/>
    </row>
    <row r="5" spans="1:10" ht="16.5" customHeight="1">
      <c r="A5" s="8"/>
      <c r="B5" s="2" t="s">
        <v>492</v>
      </c>
      <c r="C5" s="257" t="s">
        <v>9</v>
      </c>
      <c r="D5" s="258"/>
      <c r="E5" s="258"/>
      <c r="F5" s="259"/>
    </row>
    <row r="6" spans="1:10" ht="16.5">
      <c r="A6" s="9" t="s">
        <v>3</v>
      </c>
      <c r="B6" s="9" t="s">
        <v>4</v>
      </c>
      <c r="C6" s="9" t="s">
        <v>5</v>
      </c>
      <c r="D6" s="9" t="s">
        <v>10</v>
      </c>
      <c r="E6" s="9" t="s">
        <v>11</v>
      </c>
      <c r="F6" s="9" t="s">
        <v>12</v>
      </c>
    </row>
    <row r="7" spans="1:10" ht="16.5">
      <c r="A7" s="74"/>
      <c r="B7" s="74"/>
      <c r="C7" s="75"/>
      <c r="D7" s="75"/>
      <c r="E7" s="74"/>
      <c r="F7" s="74"/>
    </row>
    <row r="8" spans="1:10">
      <c r="A8" s="133">
        <v>1</v>
      </c>
      <c r="B8" s="119" t="s">
        <v>558</v>
      </c>
      <c r="C8" s="134">
        <v>2</v>
      </c>
      <c r="D8" s="134" t="s">
        <v>154</v>
      </c>
      <c r="E8" s="135">
        <v>10800</v>
      </c>
      <c r="F8" s="135">
        <f>C8*E8</f>
        <v>21600</v>
      </c>
    </row>
    <row r="9" spans="1:10" ht="15.95" customHeight="1">
      <c r="A9" s="136"/>
      <c r="B9" s="123" t="s">
        <v>599</v>
      </c>
      <c r="C9" s="134"/>
      <c r="D9" s="134"/>
      <c r="E9" s="135"/>
      <c r="F9" s="135"/>
    </row>
    <row r="10" spans="1:10" ht="33.4" customHeight="1">
      <c r="A10" s="136"/>
      <c r="B10" s="119" t="s">
        <v>601</v>
      </c>
      <c r="C10" s="134"/>
      <c r="D10" s="134"/>
      <c r="E10" s="135"/>
      <c r="F10" s="135"/>
    </row>
    <row r="11" spans="1:10" ht="17.45" customHeight="1">
      <c r="A11" s="136">
        <v>2</v>
      </c>
      <c r="B11" s="119" t="s">
        <v>603</v>
      </c>
      <c r="C11" s="134">
        <v>4</v>
      </c>
      <c r="D11" s="134" t="s">
        <v>60</v>
      </c>
      <c r="E11" s="135">
        <v>5000</v>
      </c>
      <c r="F11" s="135">
        <f>C11*E11</f>
        <v>20000</v>
      </c>
    </row>
    <row r="12" spans="1:10" ht="15.95" customHeight="1">
      <c r="A12" s="136"/>
      <c r="B12" s="137" t="s">
        <v>602</v>
      </c>
      <c r="C12" s="134"/>
      <c r="D12" s="134"/>
      <c r="E12" s="135"/>
      <c r="F12" s="135"/>
    </row>
    <row r="13" spans="1:10" ht="15.95" customHeight="1">
      <c r="A13" s="136">
        <v>3</v>
      </c>
      <c r="B13" s="119" t="s">
        <v>598</v>
      </c>
      <c r="C13" s="134">
        <v>2</v>
      </c>
      <c r="D13" s="134" t="s">
        <v>60</v>
      </c>
      <c r="E13" s="135">
        <v>3900</v>
      </c>
      <c r="F13" s="135">
        <f>C13*E13</f>
        <v>7800</v>
      </c>
    </row>
    <row r="14" spans="1:10" ht="15.95" customHeight="1">
      <c r="A14" s="136"/>
      <c r="B14" s="123" t="s">
        <v>604</v>
      </c>
      <c r="C14" s="134"/>
      <c r="D14" s="134"/>
      <c r="E14" s="135"/>
      <c r="F14" s="135"/>
    </row>
    <row r="15" spans="1:10">
      <c r="A15" s="122"/>
      <c r="B15" s="124"/>
      <c r="C15" s="120"/>
      <c r="D15" s="120"/>
      <c r="E15" s="121"/>
      <c r="F15" s="121"/>
    </row>
    <row r="16" spans="1:10">
      <c r="A16" s="122"/>
      <c r="B16" s="125"/>
      <c r="C16" s="126"/>
      <c r="D16" s="126"/>
      <c r="E16" s="127"/>
      <c r="F16" s="121"/>
    </row>
    <row r="17" spans="1:6">
      <c r="A17" s="128"/>
      <c r="B17" s="129"/>
      <c r="C17" s="130"/>
      <c r="D17" s="130"/>
      <c r="E17" s="131"/>
      <c r="F17" s="132"/>
    </row>
    <row r="18" spans="1:6" ht="15.75">
      <c r="A18" s="246" t="s">
        <v>14</v>
      </c>
      <c r="B18" s="247"/>
      <c r="C18" s="247"/>
      <c r="D18" s="247"/>
      <c r="E18" s="248"/>
      <c r="F18" s="83">
        <f>SUM(F8:F17)</f>
        <v>49400</v>
      </c>
    </row>
    <row r="19" spans="1:6" ht="15.75">
      <c r="A19" s="246" t="s">
        <v>488</v>
      </c>
      <c r="B19" s="247"/>
      <c r="C19" s="247"/>
      <c r="D19" s="247"/>
      <c r="E19" s="248"/>
      <c r="F19" s="83">
        <f>+F18*18%</f>
        <v>8892</v>
      </c>
    </row>
    <row r="20" spans="1:6" ht="17.45" customHeight="1">
      <c r="A20" s="260" t="s">
        <v>17</v>
      </c>
      <c r="B20" s="261"/>
      <c r="C20" s="261"/>
      <c r="D20" s="261"/>
      <c r="E20" s="262"/>
      <c r="F20" s="84">
        <f>SUM(F18:F19)</f>
        <v>58292</v>
      </c>
    </row>
    <row r="21" spans="1:6" ht="33" customHeight="1">
      <c r="A21" s="263" t="s">
        <v>605</v>
      </c>
      <c r="B21" s="264"/>
      <c r="C21" s="264"/>
      <c r="D21" s="264"/>
      <c r="E21" s="264"/>
      <c r="F21" s="265"/>
    </row>
    <row r="22" spans="1:6" ht="15" customHeight="1">
      <c r="A22" s="266" t="s">
        <v>18</v>
      </c>
      <c r="B22" s="267"/>
      <c r="C22" s="268" t="s">
        <v>19</v>
      </c>
      <c r="D22" s="269"/>
      <c r="E22" s="269"/>
      <c r="F22" s="270"/>
    </row>
    <row r="23" spans="1:6" ht="15" customHeight="1">
      <c r="A23" s="277" t="s">
        <v>359</v>
      </c>
      <c r="B23" s="278"/>
      <c r="C23" s="279" t="s">
        <v>21</v>
      </c>
      <c r="D23" s="278"/>
      <c r="E23" s="278"/>
      <c r="F23" s="280"/>
    </row>
    <row r="24" spans="1:6" ht="15" customHeight="1">
      <c r="A24" s="277" t="s">
        <v>22</v>
      </c>
      <c r="B24" s="278"/>
      <c r="C24" s="279" t="s">
        <v>23</v>
      </c>
      <c r="D24" s="278"/>
      <c r="E24" s="278"/>
      <c r="F24" s="280"/>
    </row>
    <row r="25" spans="1:6" ht="15" customHeight="1">
      <c r="A25" s="284" t="s">
        <v>494</v>
      </c>
      <c r="B25" s="285"/>
      <c r="C25" s="284" t="s">
        <v>25</v>
      </c>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19">
    <mergeCell ref="A18:E18"/>
    <mergeCell ref="B1:F1"/>
    <mergeCell ref="A2:F2"/>
    <mergeCell ref="C3:F3"/>
    <mergeCell ref="C4:F4"/>
    <mergeCell ref="C5:F5"/>
    <mergeCell ref="A27:F27"/>
    <mergeCell ref="A19:E19"/>
    <mergeCell ref="A20:E20"/>
    <mergeCell ref="A21:F21"/>
    <mergeCell ref="A22:B22"/>
    <mergeCell ref="C22:F22"/>
    <mergeCell ref="A23:B23"/>
    <mergeCell ref="C23:F23"/>
    <mergeCell ref="A24:B24"/>
    <mergeCell ref="C24:F24"/>
    <mergeCell ref="A25:B25"/>
    <mergeCell ref="C25:F25"/>
    <mergeCell ref="A26:F26"/>
  </mergeCells>
  <pageMargins left="0.7" right="0.7" top="0.75" bottom="0.75" header="0.3" footer="0.3"/>
  <pageSetup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720B-8FC9-41BF-9EA6-BEE39E9ED12A}">
  <dimension ref="A1:O29"/>
  <sheetViews>
    <sheetView workbookViewId="0">
      <selection activeCell="I6" sqref="I6"/>
    </sheetView>
  </sheetViews>
  <sheetFormatPr defaultRowHeight="15"/>
  <cols>
    <col min="1" max="1" width="5.5703125" customWidth="1"/>
    <col min="2" max="2" width="52.140625" customWidth="1"/>
    <col min="3" max="3" width="5.140625" customWidth="1"/>
    <col min="4" max="4" width="5.42578125" customWidth="1"/>
    <col min="5" max="5" width="10.140625" customWidth="1"/>
    <col min="6" max="6" width="11" customWidth="1"/>
  </cols>
  <sheetData>
    <row r="1" spans="1:6" ht="117" customHeight="1">
      <c r="A1" s="1"/>
      <c r="B1" s="313" t="s">
        <v>596</v>
      </c>
      <c r="C1" s="290"/>
      <c r="D1" s="290"/>
      <c r="E1" s="290"/>
      <c r="F1" s="291"/>
    </row>
    <row r="2" spans="1:6" ht="18" customHeight="1">
      <c r="A2" s="251" t="s">
        <v>6</v>
      </c>
      <c r="B2" s="252"/>
      <c r="C2" s="252"/>
      <c r="D2" s="252"/>
      <c r="E2" s="252"/>
      <c r="F2" s="253"/>
    </row>
    <row r="3" spans="1:6" ht="17.45" customHeight="1">
      <c r="A3" s="4" t="s">
        <v>7</v>
      </c>
      <c r="B3" s="326" t="s">
        <v>156</v>
      </c>
      <c r="C3" s="254" t="s">
        <v>592</v>
      </c>
      <c r="D3" s="255"/>
      <c r="E3" s="255"/>
      <c r="F3" s="256"/>
    </row>
    <row r="4" spans="1:6" ht="17.45" customHeight="1">
      <c r="A4" s="48"/>
      <c r="B4" s="327"/>
      <c r="C4" s="254" t="s">
        <v>587</v>
      </c>
      <c r="D4" s="255"/>
      <c r="E4" s="255"/>
      <c r="F4" s="256"/>
    </row>
    <row r="5" spans="1:6" ht="15.75" customHeight="1">
      <c r="A5" s="6"/>
      <c r="B5" s="7" t="s">
        <v>157</v>
      </c>
      <c r="C5" s="257" t="s">
        <v>9</v>
      </c>
      <c r="D5" s="258"/>
      <c r="E5" s="258"/>
      <c r="F5" s="259"/>
    </row>
    <row r="6" spans="1:6" ht="16.5" customHeight="1">
      <c r="A6" s="8"/>
      <c r="B6" s="2"/>
      <c r="C6" s="257"/>
      <c r="D6" s="258"/>
      <c r="E6" s="258"/>
      <c r="F6" s="259"/>
    </row>
    <row r="7" spans="1:6" ht="16.5">
      <c r="A7" s="9" t="s">
        <v>3</v>
      </c>
      <c r="B7" s="9" t="s">
        <v>4</v>
      </c>
      <c r="C7" s="9" t="s">
        <v>5</v>
      </c>
      <c r="D7" s="9" t="s">
        <v>10</v>
      </c>
      <c r="E7" s="9" t="s">
        <v>11</v>
      </c>
      <c r="F7" s="9" t="s">
        <v>12</v>
      </c>
    </row>
    <row r="8" spans="1:6" ht="16.5">
      <c r="A8" s="10"/>
      <c r="B8" s="11"/>
      <c r="C8" s="26"/>
      <c r="D8" s="26"/>
      <c r="E8" s="12"/>
      <c r="F8" s="13"/>
    </row>
    <row r="9" spans="1:6" ht="16.5">
      <c r="A9" s="10">
        <v>1</v>
      </c>
      <c r="B9" s="118" t="s">
        <v>594</v>
      </c>
      <c r="C9" s="16">
        <v>1</v>
      </c>
      <c r="D9" s="16" t="s">
        <v>60</v>
      </c>
      <c r="E9" s="18">
        <v>96000</v>
      </c>
      <c r="F9" s="19">
        <f>+C9*E9</f>
        <v>96000</v>
      </c>
    </row>
    <row r="10" spans="1:6" ht="16.5">
      <c r="A10" s="10"/>
      <c r="B10" s="118" t="s">
        <v>595</v>
      </c>
      <c r="C10" s="16"/>
      <c r="D10" s="16"/>
      <c r="E10" s="18"/>
      <c r="F10" s="19"/>
    </row>
    <row r="11" spans="1:6" ht="16.5">
      <c r="A11" s="10"/>
      <c r="B11" s="46"/>
      <c r="C11" s="26"/>
      <c r="D11" s="26"/>
      <c r="E11" s="12"/>
      <c r="F11" s="13"/>
    </row>
    <row r="12" spans="1:6" ht="16.5">
      <c r="A12" s="10"/>
      <c r="B12" s="46"/>
      <c r="C12" s="26"/>
      <c r="D12" s="26"/>
      <c r="E12" s="12"/>
      <c r="F12" s="13"/>
    </row>
    <row r="13" spans="1:6" ht="16.5">
      <c r="A13" s="10"/>
      <c r="B13" s="46"/>
      <c r="C13" s="26"/>
      <c r="D13" s="26"/>
      <c r="E13" s="12"/>
      <c r="F13" s="13"/>
    </row>
    <row r="14" spans="1:6" ht="16.5">
      <c r="A14" s="10"/>
      <c r="B14" s="46"/>
      <c r="C14" s="26"/>
      <c r="D14" s="26"/>
      <c r="E14" s="12"/>
      <c r="F14" s="13"/>
    </row>
    <row r="15" spans="1:6" ht="16.5">
      <c r="A15" s="10"/>
      <c r="B15" s="44"/>
      <c r="C15" s="3"/>
      <c r="D15" s="3"/>
      <c r="E15" s="12"/>
      <c r="F15" s="13"/>
    </row>
    <row r="16" spans="1:6" ht="16.5">
      <c r="A16" s="10"/>
      <c r="B16" s="20"/>
      <c r="C16" s="3"/>
      <c r="D16" s="3"/>
      <c r="E16" s="12"/>
      <c r="F16" s="13"/>
    </row>
    <row r="17" spans="1:15" ht="16.5">
      <c r="A17" s="21"/>
      <c r="B17" s="34"/>
      <c r="C17" s="35"/>
      <c r="D17" s="35"/>
      <c r="E17" s="25"/>
      <c r="F17" s="36"/>
    </row>
    <row r="18" spans="1:15" ht="15.75">
      <c r="A18" s="246" t="s">
        <v>14</v>
      </c>
      <c r="B18" s="247"/>
      <c r="C18" s="247"/>
      <c r="D18" s="247"/>
      <c r="E18" s="248"/>
      <c r="F18" s="83">
        <f>SUM(F8:F17)</f>
        <v>96000</v>
      </c>
    </row>
    <row r="19" spans="1:15" ht="15.75">
      <c r="A19" s="246" t="s">
        <v>15</v>
      </c>
      <c r="B19" s="247"/>
      <c r="C19" s="247"/>
      <c r="D19" s="247"/>
      <c r="E19" s="248"/>
      <c r="F19" s="83">
        <f>+F18*9%</f>
        <v>8640</v>
      </c>
    </row>
    <row r="20" spans="1:15" ht="15.75">
      <c r="A20" s="246" t="s">
        <v>16</v>
      </c>
      <c r="B20" s="247"/>
      <c r="C20" s="247"/>
      <c r="D20" s="247"/>
      <c r="E20" s="248"/>
      <c r="F20" s="83">
        <f>+F18*9%</f>
        <v>8640</v>
      </c>
    </row>
    <row r="21" spans="1:15" ht="17.45" customHeight="1">
      <c r="A21" s="260" t="s">
        <v>17</v>
      </c>
      <c r="B21" s="261"/>
      <c r="C21" s="261"/>
      <c r="D21" s="261"/>
      <c r="E21" s="262"/>
      <c r="F21" s="84">
        <f>SUM(F18:F20)</f>
        <v>113280</v>
      </c>
    </row>
    <row r="22" spans="1:15" ht="33" customHeight="1">
      <c r="A22" s="263" t="s">
        <v>593</v>
      </c>
      <c r="B22" s="264"/>
      <c r="C22" s="264"/>
      <c r="D22" s="264"/>
      <c r="E22" s="264"/>
      <c r="F22" s="265"/>
    </row>
    <row r="23" spans="1:15" ht="15" customHeight="1">
      <c r="A23" s="266" t="s">
        <v>18</v>
      </c>
      <c r="B23" s="267"/>
      <c r="C23" s="268" t="s">
        <v>19</v>
      </c>
      <c r="D23" s="269"/>
      <c r="E23" s="269"/>
      <c r="F23" s="270"/>
      <c r="L23" s="278"/>
      <c r="M23" s="278"/>
      <c r="N23" s="278"/>
      <c r="O23" s="278"/>
    </row>
    <row r="24" spans="1:15" ht="15" customHeight="1">
      <c r="A24" s="279" t="s">
        <v>159</v>
      </c>
      <c r="B24" s="278"/>
      <c r="C24" s="279" t="s">
        <v>21</v>
      </c>
      <c r="D24" s="278"/>
      <c r="E24" s="278"/>
      <c r="F24" s="280"/>
    </row>
    <row r="25" spans="1:15" ht="15" customHeight="1">
      <c r="A25" s="279" t="s">
        <v>160</v>
      </c>
      <c r="B25" s="278"/>
      <c r="C25" s="279" t="s">
        <v>23</v>
      </c>
      <c r="D25" s="278"/>
      <c r="E25" s="278"/>
      <c r="F25" s="280"/>
    </row>
    <row r="26" spans="1:15" ht="15" customHeight="1">
      <c r="A26" s="49" t="s">
        <v>162</v>
      </c>
      <c r="B26" s="47"/>
      <c r="C26" s="279" t="s">
        <v>163</v>
      </c>
      <c r="D26" s="278"/>
      <c r="E26" s="278"/>
      <c r="F26" s="280"/>
    </row>
    <row r="27" spans="1:15" ht="15" customHeight="1">
      <c r="A27" s="284" t="s">
        <v>161</v>
      </c>
      <c r="B27" s="285"/>
      <c r="C27" s="279" t="s">
        <v>164</v>
      </c>
      <c r="D27" s="278"/>
      <c r="E27" s="278"/>
      <c r="F27" s="280"/>
    </row>
    <row r="28" spans="1:15" ht="27" customHeight="1">
      <c r="A28" s="271" t="s">
        <v>26</v>
      </c>
      <c r="B28" s="272"/>
      <c r="C28" s="272"/>
      <c r="D28" s="272"/>
      <c r="E28" s="272"/>
      <c r="F28" s="273"/>
    </row>
    <row r="29" spans="1:15" ht="26.45" customHeight="1">
      <c r="A29" s="274" t="s">
        <v>27</v>
      </c>
      <c r="B29" s="275"/>
      <c r="C29" s="275"/>
      <c r="D29" s="275"/>
      <c r="E29" s="275"/>
      <c r="F29" s="276"/>
    </row>
  </sheetData>
  <mergeCells count="24">
    <mergeCell ref="A22:F22"/>
    <mergeCell ref="A23:B23"/>
    <mergeCell ref="C23:F23"/>
    <mergeCell ref="C5:F5"/>
    <mergeCell ref="B1:F1"/>
    <mergeCell ref="A2:F2"/>
    <mergeCell ref="B3:B4"/>
    <mergeCell ref="C3:F3"/>
    <mergeCell ref="C4:F4"/>
    <mergeCell ref="C6:F6"/>
    <mergeCell ref="A18:E18"/>
    <mergeCell ref="A19:E19"/>
    <mergeCell ref="A20:E20"/>
    <mergeCell ref="A21:E21"/>
    <mergeCell ref="A28:F28"/>
    <mergeCell ref="A29:F29"/>
    <mergeCell ref="L23:O23"/>
    <mergeCell ref="A24:B24"/>
    <mergeCell ref="C24:F24"/>
    <mergeCell ref="C26:F26"/>
    <mergeCell ref="A27:B27"/>
    <mergeCell ref="C27:F27"/>
    <mergeCell ref="A25:B25"/>
    <mergeCell ref="C25:F25"/>
  </mergeCells>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F39A-3B3C-4A2C-AC33-6DB04E3F768A}">
  <dimension ref="A1:F30"/>
  <sheetViews>
    <sheetView workbookViewId="0">
      <selection activeCell="I8" sqref="I8"/>
    </sheetView>
  </sheetViews>
  <sheetFormatPr defaultRowHeight="15"/>
  <cols>
    <col min="1" max="1" width="5.5703125" customWidth="1"/>
    <col min="2" max="2" width="47.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586</v>
      </c>
      <c r="D3" s="255"/>
      <c r="E3" s="255"/>
      <c r="F3" s="256"/>
    </row>
    <row r="4" spans="1:6" ht="29.25" customHeight="1">
      <c r="A4" s="6"/>
      <c r="B4" s="7" t="s">
        <v>8</v>
      </c>
      <c r="C4" s="254" t="s">
        <v>587</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114" t="s">
        <v>588</v>
      </c>
      <c r="C8" s="68">
        <v>2</v>
      </c>
      <c r="D8" s="68" t="s">
        <v>13</v>
      </c>
      <c r="E8" s="69">
        <v>1450</v>
      </c>
      <c r="F8" s="69">
        <f>C8*E8</f>
        <v>2900</v>
      </c>
    </row>
    <row r="9" spans="1:6" ht="15.95" customHeight="1">
      <c r="A9" s="6">
        <v>2</v>
      </c>
      <c r="B9" s="115" t="s">
        <v>589</v>
      </c>
      <c r="C9" s="68">
        <v>20</v>
      </c>
      <c r="D9" s="68" t="s">
        <v>13</v>
      </c>
      <c r="E9" s="69">
        <v>175</v>
      </c>
      <c r="F9" s="69">
        <f>C9*E9</f>
        <v>3500</v>
      </c>
    </row>
    <row r="10" spans="1:6" ht="15.95" customHeight="1">
      <c r="A10" s="6">
        <v>3</v>
      </c>
      <c r="B10" s="116" t="s">
        <v>590</v>
      </c>
      <c r="C10" s="68">
        <v>20</v>
      </c>
      <c r="D10" s="68" t="s">
        <v>13</v>
      </c>
      <c r="E10" s="69">
        <v>245</v>
      </c>
      <c r="F10" s="69">
        <f>C10*E10</f>
        <v>4900</v>
      </c>
    </row>
    <row r="11" spans="1:6" ht="15.95" customHeight="1">
      <c r="A11" s="6"/>
      <c r="B11" s="116"/>
      <c r="C11" s="68"/>
      <c r="D11" s="68"/>
      <c r="E11" s="69"/>
      <c r="F11" s="69"/>
    </row>
    <row r="12" spans="1:6" ht="15.95" customHeight="1">
      <c r="A12" s="6"/>
      <c r="B12" s="102"/>
      <c r="C12" s="68"/>
      <c r="D12" s="68"/>
      <c r="E12" s="69"/>
      <c r="F12" s="69"/>
    </row>
    <row r="13" spans="1:6" ht="15.95" customHeight="1">
      <c r="A13" s="6"/>
      <c r="B13" s="102"/>
      <c r="C13" s="68"/>
      <c r="D13" s="68"/>
      <c r="E13" s="69"/>
      <c r="F13" s="69"/>
    </row>
    <row r="14" spans="1:6" ht="15.95" customHeight="1">
      <c r="A14" s="6"/>
      <c r="B14" s="102"/>
      <c r="C14" s="68"/>
      <c r="D14" s="68"/>
      <c r="E14" s="69"/>
      <c r="F14" s="69"/>
    </row>
    <row r="15" spans="1:6" ht="15.95" customHeight="1">
      <c r="A15" s="6"/>
      <c r="B15" s="102"/>
      <c r="C15" s="68"/>
      <c r="D15" s="68"/>
      <c r="E15" s="69"/>
      <c r="F15" s="69"/>
    </row>
    <row r="16" spans="1:6" ht="15.95" customHeight="1">
      <c r="A16" s="6"/>
      <c r="B16" s="15"/>
      <c r="C16" s="68"/>
      <c r="D16" s="68"/>
      <c r="E16" s="69"/>
      <c r="F16" s="69"/>
    </row>
    <row r="17" spans="1:6" ht="15.95" customHeight="1">
      <c r="A17" s="6"/>
      <c r="B17" s="107"/>
      <c r="C17" s="68"/>
      <c r="D17" s="68"/>
      <c r="E17" s="69"/>
      <c r="F17" s="69"/>
    </row>
    <row r="18" spans="1:6" ht="15.95" customHeight="1">
      <c r="A18" s="6"/>
      <c r="B18" s="85"/>
      <c r="C18" s="68"/>
      <c r="D18" s="68"/>
      <c r="E18" s="69"/>
      <c r="F18" s="69"/>
    </row>
    <row r="19" spans="1:6" ht="15.75">
      <c r="A19" s="79"/>
      <c r="B19" s="29"/>
      <c r="C19" s="80"/>
      <c r="D19" s="80"/>
      <c r="E19" s="81"/>
      <c r="F19" s="82"/>
    </row>
    <row r="20" spans="1:6" ht="15.75">
      <c r="A20" s="246" t="s">
        <v>14</v>
      </c>
      <c r="B20" s="247"/>
      <c r="C20" s="247"/>
      <c r="D20" s="247"/>
      <c r="E20" s="248"/>
      <c r="F20" s="83">
        <f>SUM(F8:F19)</f>
        <v>11300</v>
      </c>
    </row>
    <row r="21" spans="1:6" ht="15.75">
      <c r="A21" s="246" t="s">
        <v>15</v>
      </c>
      <c r="B21" s="247"/>
      <c r="C21" s="247"/>
      <c r="D21" s="247"/>
      <c r="E21" s="248"/>
      <c r="F21" s="83">
        <f>+F20*9%</f>
        <v>1017</v>
      </c>
    </row>
    <row r="22" spans="1:6" ht="15.75">
      <c r="A22" s="246" t="s">
        <v>16</v>
      </c>
      <c r="B22" s="247"/>
      <c r="C22" s="247"/>
      <c r="D22" s="247"/>
      <c r="E22" s="248"/>
      <c r="F22" s="83">
        <f>+F20*9%</f>
        <v>1017</v>
      </c>
    </row>
    <row r="23" spans="1:6" ht="17.45" customHeight="1">
      <c r="A23" s="260" t="s">
        <v>17</v>
      </c>
      <c r="B23" s="261"/>
      <c r="C23" s="261"/>
      <c r="D23" s="261"/>
      <c r="E23" s="262"/>
      <c r="F23" s="84">
        <f>SUM(F20:F22)</f>
        <v>13334</v>
      </c>
    </row>
    <row r="24" spans="1:6" ht="33" customHeight="1">
      <c r="A24" s="263" t="s">
        <v>591</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0:E20"/>
    <mergeCell ref="B1:F1"/>
    <mergeCell ref="A2:F2"/>
    <mergeCell ref="C3:F3"/>
    <mergeCell ref="C4:F4"/>
    <mergeCell ref="C5:F5"/>
    <mergeCell ref="A21:E21"/>
    <mergeCell ref="A22:E22"/>
    <mergeCell ref="A23:E23"/>
    <mergeCell ref="A24:F24"/>
    <mergeCell ref="A25:B25"/>
    <mergeCell ref="C25:F25"/>
    <mergeCell ref="A29:F29"/>
    <mergeCell ref="A30:F30"/>
    <mergeCell ref="A26:B26"/>
    <mergeCell ref="C26:F26"/>
    <mergeCell ref="A27:B27"/>
    <mergeCell ref="C27:F27"/>
    <mergeCell ref="A28:B28"/>
    <mergeCell ref="C28:F28"/>
  </mergeCells>
  <pageMargins left="0.7" right="0.7" top="0.75" bottom="0.75" header="0.3" footer="0.3"/>
  <pageSetup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1A99B-6D63-4C19-8FC4-1F1B17B4D0FB}">
  <dimension ref="A1:F31"/>
  <sheetViews>
    <sheetView workbookViewId="0">
      <selection activeCell="J1" sqref="J1"/>
    </sheetView>
  </sheetViews>
  <sheetFormatPr defaultRowHeight="15"/>
  <cols>
    <col min="1" max="1" width="5.5703125" customWidth="1"/>
    <col min="2" max="2" width="47.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584</v>
      </c>
      <c r="D3" s="255"/>
      <c r="E3" s="255"/>
      <c r="F3" s="256"/>
    </row>
    <row r="4" spans="1:6" ht="29.25" customHeight="1">
      <c r="A4" s="6"/>
      <c r="B4" s="7" t="s">
        <v>8</v>
      </c>
      <c r="C4" s="254" t="s">
        <v>571</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74"/>
      <c r="B8" s="117" t="s">
        <v>583</v>
      </c>
      <c r="C8" s="75"/>
      <c r="D8" s="75"/>
      <c r="E8" s="74"/>
      <c r="F8" s="74"/>
    </row>
    <row r="9" spans="1:6" ht="31.5">
      <c r="A9" s="52">
        <v>1</v>
      </c>
      <c r="B9" s="114" t="s">
        <v>581</v>
      </c>
      <c r="C9" s="68">
        <v>1</v>
      </c>
      <c r="D9" s="68" t="s">
        <v>154</v>
      </c>
      <c r="E9" s="69">
        <v>153250</v>
      </c>
      <c r="F9" s="69">
        <f>C9*E9</f>
        <v>153250</v>
      </c>
    </row>
    <row r="10" spans="1:6" ht="15.95" customHeight="1">
      <c r="A10" s="6"/>
      <c r="B10" s="115" t="s">
        <v>578</v>
      </c>
      <c r="C10" s="68"/>
      <c r="D10" s="68"/>
      <c r="E10" s="69"/>
      <c r="F10" s="69"/>
    </row>
    <row r="11" spans="1:6" ht="15.95" customHeight="1">
      <c r="A11" s="6"/>
      <c r="B11" s="116" t="s">
        <v>579</v>
      </c>
      <c r="C11" s="68"/>
      <c r="D11" s="68"/>
      <c r="E11" s="69"/>
      <c r="F11" s="69"/>
    </row>
    <row r="12" spans="1:6" ht="15.95" customHeight="1">
      <c r="A12" s="6"/>
      <c r="B12" s="116" t="s">
        <v>580</v>
      </c>
      <c r="C12" s="68"/>
      <c r="D12" s="68"/>
      <c r="E12" s="69"/>
      <c r="F12" s="69"/>
    </row>
    <row r="13" spans="1:6" ht="15.95" customHeight="1">
      <c r="A13" s="6"/>
      <c r="B13" s="102" t="s">
        <v>582</v>
      </c>
      <c r="C13" s="68"/>
      <c r="D13" s="68"/>
      <c r="E13" s="69"/>
      <c r="F13" s="69"/>
    </row>
    <row r="14" spans="1:6" ht="15.95" customHeight="1">
      <c r="A14" s="6"/>
      <c r="B14" s="102"/>
      <c r="C14" s="68"/>
      <c r="D14" s="68"/>
      <c r="E14" s="69"/>
      <c r="F14" s="69"/>
    </row>
    <row r="15" spans="1:6" ht="15.95" customHeight="1">
      <c r="A15" s="6"/>
      <c r="B15" s="102"/>
      <c r="C15" s="68"/>
      <c r="D15" s="68"/>
      <c r="E15" s="69"/>
      <c r="F15" s="69"/>
    </row>
    <row r="16" spans="1:6" ht="15.95" customHeight="1">
      <c r="A16" s="6"/>
      <c r="B16" s="102"/>
      <c r="C16" s="68"/>
      <c r="D16" s="68"/>
      <c r="E16" s="69"/>
      <c r="F16" s="69"/>
    </row>
    <row r="17" spans="1:6" ht="15.95" customHeight="1">
      <c r="A17" s="6"/>
      <c r="B17" s="15"/>
      <c r="C17" s="68"/>
      <c r="D17" s="68"/>
      <c r="E17" s="69"/>
      <c r="F17" s="69"/>
    </row>
    <row r="18" spans="1:6" ht="15.95" customHeight="1">
      <c r="A18" s="6"/>
      <c r="B18" s="107"/>
      <c r="C18" s="68"/>
      <c r="D18" s="68"/>
      <c r="E18" s="69"/>
      <c r="F18" s="69"/>
    </row>
    <row r="19" spans="1:6" ht="15.95" customHeight="1">
      <c r="A19" s="6"/>
      <c r="B19" s="85"/>
      <c r="C19" s="68"/>
      <c r="D19" s="68"/>
      <c r="E19" s="69"/>
      <c r="F19" s="69"/>
    </row>
    <row r="20" spans="1:6" ht="15.75">
      <c r="A20" s="79"/>
      <c r="B20" s="29"/>
      <c r="C20" s="80"/>
      <c r="D20" s="80"/>
      <c r="E20" s="81"/>
      <c r="F20" s="82"/>
    </row>
    <row r="21" spans="1:6" ht="15.75">
      <c r="A21" s="246" t="s">
        <v>14</v>
      </c>
      <c r="B21" s="247"/>
      <c r="C21" s="247"/>
      <c r="D21" s="247"/>
      <c r="E21" s="248"/>
      <c r="F21" s="83">
        <f>SUM(F9:F20)</f>
        <v>153250</v>
      </c>
    </row>
    <row r="22" spans="1:6" ht="15.75">
      <c r="A22" s="246" t="s">
        <v>15</v>
      </c>
      <c r="B22" s="247"/>
      <c r="C22" s="247"/>
      <c r="D22" s="247"/>
      <c r="E22" s="248"/>
      <c r="F22" s="83">
        <f>+F21*9%</f>
        <v>13792.5</v>
      </c>
    </row>
    <row r="23" spans="1:6" ht="15.75">
      <c r="A23" s="246" t="s">
        <v>16</v>
      </c>
      <c r="B23" s="247"/>
      <c r="C23" s="247"/>
      <c r="D23" s="247"/>
      <c r="E23" s="248"/>
      <c r="F23" s="83">
        <f>+F21*9%</f>
        <v>13792.5</v>
      </c>
    </row>
    <row r="24" spans="1:6" ht="17.45" customHeight="1">
      <c r="A24" s="260" t="s">
        <v>17</v>
      </c>
      <c r="B24" s="261"/>
      <c r="C24" s="261"/>
      <c r="D24" s="261"/>
      <c r="E24" s="262"/>
      <c r="F24" s="84">
        <f>SUM(F21:F23)</f>
        <v>180835</v>
      </c>
    </row>
    <row r="25" spans="1:6" ht="33" customHeight="1">
      <c r="A25" s="263" t="s">
        <v>585</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21:E21"/>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5A017-A179-4288-8EC0-195AFBD954E6}">
  <dimension ref="A1:F30"/>
  <sheetViews>
    <sheetView topLeftCell="A4" workbookViewId="0">
      <selection activeCell="I8" sqref="I8"/>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570</v>
      </c>
      <c r="D3" s="255"/>
      <c r="E3" s="255"/>
      <c r="F3" s="256"/>
    </row>
    <row r="4" spans="1:6" ht="29.25" customHeight="1">
      <c r="A4" s="6"/>
      <c r="B4" s="7" t="s">
        <v>8</v>
      </c>
      <c r="C4" s="254" t="s">
        <v>571</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50" t="s">
        <v>575</v>
      </c>
      <c r="C8" s="68">
        <v>1</v>
      </c>
      <c r="D8" s="68" t="s">
        <v>154</v>
      </c>
      <c r="E8" s="69">
        <v>34500</v>
      </c>
      <c r="F8" s="69">
        <f>C8*E8</f>
        <v>34500</v>
      </c>
    </row>
    <row r="9" spans="1:6" ht="15.95" customHeight="1">
      <c r="A9" s="6"/>
      <c r="B9" s="114" t="s">
        <v>572</v>
      </c>
      <c r="C9" s="68"/>
      <c r="D9" s="68"/>
      <c r="E9" s="69"/>
      <c r="F9" s="69"/>
    </row>
    <row r="10" spans="1:6" ht="15.95" customHeight="1">
      <c r="A10" s="6"/>
      <c r="B10" s="115" t="s">
        <v>573</v>
      </c>
      <c r="C10" s="68"/>
      <c r="D10" s="68"/>
      <c r="E10" s="69"/>
      <c r="F10" s="69"/>
    </row>
    <row r="11" spans="1:6" ht="15.95" customHeight="1">
      <c r="A11" s="6"/>
      <c r="B11" s="116" t="s">
        <v>577</v>
      </c>
      <c r="C11" s="68"/>
      <c r="D11" s="68"/>
      <c r="E11" s="69"/>
      <c r="F11" s="69"/>
    </row>
    <row r="12" spans="1:6" ht="15.95" customHeight="1">
      <c r="A12" s="6"/>
      <c r="B12" s="116" t="s">
        <v>576</v>
      </c>
      <c r="C12" s="68"/>
      <c r="D12" s="68"/>
      <c r="E12" s="69"/>
      <c r="F12" s="69"/>
    </row>
    <row r="13" spans="1:6" ht="15.95" customHeight="1">
      <c r="A13" s="6"/>
      <c r="B13" s="102"/>
      <c r="C13" s="68"/>
      <c r="D13" s="68"/>
      <c r="E13" s="69"/>
      <c r="F13" s="69"/>
    </row>
    <row r="14" spans="1:6" ht="15.95" customHeight="1">
      <c r="A14" s="6"/>
      <c r="B14" s="102"/>
      <c r="C14" s="68"/>
      <c r="D14" s="68"/>
      <c r="E14" s="69"/>
      <c r="F14" s="69"/>
    </row>
    <row r="15" spans="1:6" ht="15.95" customHeight="1">
      <c r="A15" s="6"/>
      <c r="B15" s="102"/>
      <c r="C15" s="68"/>
      <c r="D15" s="68"/>
      <c r="E15" s="69"/>
      <c r="F15" s="69"/>
    </row>
    <row r="16" spans="1:6" ht="15.95" customHeight="1">
      <c r="A16" s="6"/>
      <c r="B16" s="15"/>
      <c r="C16" s="68"/>
      <c r="D16" s="68"/>
      <c r="E16" s="69"/>
      <c r="F16" s="69"/>
    </row>
    <row r="17" spans="1:6" ht="15.95" customHeight="1">
      <c r="A17" s="6"/>
      <c r="B17" s="107"/>
      <c r="C17" s="68"/>
      <c r="D17" s="68"/>
      <c r="E17" s="69"/>
      <c r="F17" s="69"/>
    </row>
    <row r="18" spans="1:6" ht="15.95" customHeight="1">
      <c r="A18" s="6"/>
      <c r="B18" s="85"/>
      <c r="C18" s="68"/>
      <c r="D18" s="68"/>
      <c r="E18" s="69"/>
      <c r="F18" s="69"/>
    </row>
    <row r="19" spans="1:6" ht="15.75">
      <c r="A19" s="79"/>
      <c r="B19" s="29"/>
      <c r="C19" s="80"/>
      <c r="D19" s="80"/>
      <c r="E19" s="81"/>
      <c r="F19" s="82"/>
    </row>
    <row r="20" spans="1:6" ht="15.75">
      <c r="A20" s="246" t="s">
        <v>14</v>
      </c>
      <c r="B20" s="247"/>
      <c r="C20" s="247"/>
      <c r="D20" s="247"/>
      <c r="E20" s="248"/>
      <c r="F20" s="83">
        <f>SUM(F8:F19)</f>
        <v>34500</v>
      </c>
    </row>
    <row r="21" spans="1:6" ht="15.75">
      <c r="A21" s="246" t="s">
        <v>15</v>
      </c>
      <c r="B21" s="247"/>
      <c r="C21" s="247"/>
      <c r="D21" s="247"/>
      <c r="E21" s="248"/>
      <c r="F21" s="83">
        <f>+F20*9%</f>
        <v>3105</v>
      </c>
    </row>
    <row r="22" spans="1:6" ht="15.75">
      <c r="A22" s="246" t="s">
        <v>16</v>
      </c>
      <c r="B22" s="247"/>
      <c r="C22" s="247"/>
      <c r="D22" s="247"/>
      <c r="E22" s="248"/>
      <c r="F22" s="83">
        <f>+F20*9%</f>
        <v>3105</v>
      </c>
    </row>
    <row r="23" spans="1:6" ht="17.45" customHeight="1">
      <c r="A23" s="260" t="s">
        <v>17</v>
      </c>
      <c r="B23" s="261"/>
      <c r="C23" s="261"/>
      <c r="D23" s="261"/>
      <c r="E23" s="262"/>
      <c r="F23" s="84">
        <f>SUM(F20:F22)</f>
        <v>40710</v>
      </c>
    </row>
    <row r="24" spans="1:6" ht="33" customHeight="1">
      <c r="A24" s="263" t="s">
        <v>574</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1:E21"/>
    <mergeCell ref="A22:E22"/>
    <mergeCell ref="A23:E23"/>
    <mergeCell ref="A24:F24"/>
    <mergeCell ref="A25:B25"/>
    <mergeCell ref="C25:F25"/>
    <mergeCell ref="A20:E20"/>
    <mergeCell ref="B1:F1"/>
    <mergeCell ref="A2:F2"/>
    <mergeCell ref="C3:F3"/>
    <mergeCell ref="C4:F4"/>
    <mergeCell ref="C5:F5"/>
  </mergeCells>
  <pageMargins left="0.7" right="0.7" top="0.75" bottom="0.75" header="0.3" footer="0.3"/>
  <pageSetup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5BBE-3F9F-4B9E-BA45-060A2FF0AAE4}">
  <dimension ref="A1:J28"/>
  <sheetViews>
    <sheetView topLeftCell="A4" workbookViewId="0">
      <selection activeCell="J11" sqref="J11"/>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10" ht="117" customHeight="1">
      <c r="A1" s="1"/>
      <c r="B1" s="290" t="s">
        <v>0</v>
      </c>
      <c r="C1" s="290"/>
      <c r="D1" s="290"/>
      <c r="E1" s="290"/>
      <c r="F1" s="291"/>
    </row>
    <row r="2" spans="1:10" ht="18" customHeight="1">
      <c r="A2" s="251" t="s">
        <v>6</v>
      </c>
      <c r="B2" s="252"/>
      <c r="C2" s="252"/>
      <c r="D2" s="252"/>
      <c r="E2" s="252"/>
      <c r="F2" s="253"/>
    </row>
    <row r="3" spans="1:10" ht="17.25">
      <c r="A3" s="4" t="s">
        <v>7</v>
      </c>
      <c r="B3" s="5" t="s">
        <v>490</v>
      </c>
      <c r="C3" s="254" t="s">
        <v>557</v>
      </c>
      <c r="D3" s="255"/>
      <c r="E3" s="255"/>
      <c r="F3" s="256"/>
    </row>
    <row r="4" spans="1:10" ht="29.25" customHeight="1">
      <c r="A4" s="6"/>
      <c r="B4" s="7" t="s">
        <v>491</v>
      </c>
      <c r="C4" s="254" t="s">
        <v>566</v>
      </c>
      <c r="D4" s="255"/>
      <c r="E4" s="255"/>
      <c r="F4" s="256"/>
      <c r="J4" s="113"/>
    </row>
    <row r="5" spans="1:10" ht="16.5" customHeight="1">
      <c r="A5" s="8"/>
      <c r="B5" s="2" t="s">
        <v>492</v>
      </c>
      <c r="C5" s="257" t="s">
        <v>9</v>
      </c>
      <c r="D5" s="258"/>
      <c r="E5" s="258"/>
      <c r="F5" s="259"/>
    </row>
    <row r="6" spans="1:10" ht="16.5">
      <c r="A6" s="9" t="s">
        <v>3</v>
      </c>
      <c r="B6" s="9" t="s">
        <v>4</v>
      </c>
      <c r="C6" s="9" t="s">
        <v>5</v>
      </c>
      <c r="D6" s="9" t="s">
        <v>10</v>
      </c>
      <c r="E6" s="9" t="s">
        <v>11</v>
      </c>
      <c r="F6" s="9" t="s">
        <v>12</v>
      </c>
    </row>
    <row r="7" spans="1:10" ht="16.5">
      <c r="A7" s="74"/>
      <c r="B7" s="74"/>
      <c r="C7" s="75"/>
      <c r="D7" s="75"/>
      <c r="E7" s="74"/>
      <c r="F7" s="74"/>
    </row>
    <row r="8" spans="1:10" ht="16.5">
      <c r="A8" s="74">
        <v>1</v>
      </c>
      <c r="B8" s="86" t="s">
        <v>558</v>
      </c>
      <c r="C8" s="68">
        <v>2</v>
      </c>
      <c r="D8" s="68" t="s">
        <v>60</v>
      </c>
      <c r="E8" s="69">
        <v>9800</v>
      </c>
      <c r="F8" s="69">
        <f>C8*E8</f>
        <v>19600</v>
      </c>
    </row>
    <row r="9" spans="1:10" ht="15.95" customHeight="1">
      <c r="A9" s="6"/>
      <c r="B9" s="85" t="s">
        <v>559</v>
      </c>
      <c r="C9" s="68"/>
      <c r="D9" s="68"/>
      <c r="E9" s="69"/>
      <c r="F9" s="69"/>
    </row>
    <row r="10" spans="1:10" ht="15.95" customHeight="1">
      <c r="A10" s="6"/>
      <c r="B10" s="86" t="s">
        <v>560</v>
      </c>
      <c r="C10" s="68"/>
      <c r="D10" s="68"/>
      <c r="E10" s="69"/>
      <c r="F10" s="69"/>
    </row>
    <row r="11" spans="1:10" ht="17.45" customHeight="1">
      <c r="A11" s="6">
        <v>2</v>
      </c>
      <c r="B11" s="86" t="s">
        <v>563</v>
      </c>
      <c r="C11" s="68">
        <v>1</v>
      </c>
      <c r="D11" s="68" t="s">
        <v>60</v>
      </c>
      <c r="E11" s="69">
        <v>6000</v>
      </c>
      <c r="F11" s="69">
        <f>C11*E11</f>
        <v>6000</v>
      </c>
    </row>
    <row r="12" spans="1:10" ht="15.95" customHeight="1">
      <c r="A12" s="6"/>
      <c r="B12" s="101" t="s">
        <v>561</v>
      </c>
      <c r="C12" s="68"/>
      <c r="D12" s="68"/>
      <c r="E12" s="69"/>
      <c r="F12" s="69"/>
    </row>
    <row r="13" spans="1:10" ht="15.95" customHeight="1">
      <c r="A13" s="6"/>
      <c r="B13" s="102" t="s">
        <v>562</v>
      </c>
      <c r="C13" s="68"/>
      <c r="D13" s="68"/>
      <c r="E13" s="69"/>
      <c r="F13" s="69"/>
    </row>
    <row r="14" spans="1:10" ht="15.95" customHeight="1">
      <c r="A14" s="6">
        <v>3</v>
      </c>
      <c r="B14" s="100" t="s">
        <v>564</v>
      </c>
      <c r="C14" s="68">
        <v>1</v>
      </c>
      <c r="D14" s="68" t="s">
        <v>60</v>
      </c>
      <c r="E14" s="69">
        <v>3000</v>
      </c>
      <c r="F14" s="69">
        <f>C14*E14</f>
        <v>3000</v>
      </c>
    </row>
    <row r="15" spans="1:10" ht="15.95" customHeight="1">
      <c r="A15" s="6"/>
      <c r="B15" s="85"/>
      <c r="C15" s="68"/>
      <c r="D15" s="68"/>
      <c r="E15" s="69"/>
      <c r="F15" s="69"/>
    </row>
    <row r="16" spans="1:10" ht="15.75">
      <c r="A16" s="6"/>
      <c r="B16" s="77"/>
      <c r="C16" s="68"/>
      <c r="D16" s="68"/>
      <c r="E16" s="69"/>
      <c r="F16" s="69"/>
    </row>
    <row r="17" spans="1:6" ht="15.75">
      <c r="A17" s="6"/>
      <c r="B17" s="60"/>
      <c r="C17" s="67"/>
      <c r="D17" s="67"/>
      <c r="E17" s="78"/>
      <c r="F17" s="69"/>
    </row>
    <row r="18" spans="1:6" ht="15.75">
      <c r="A18" s="79"/>
      <c r="B18" s="29"/>
      <c r="C18" s="80"/>
      <c r="D18" s="80"/>
      <c r="E18" s="81"/>
      <c r="F18" s="82"/>
    </row>
    <row r="19" spans="1:6" ht="15.75">
      <c r="A19" s="246" t="s">
        <v>14</v>
      </c>
      <c r="B19" s="247"/>
      <c r="C19" s="247"/>
      <c r="D19" s="247"/>
      <c r="E19" s="248"/>
      <c r="F19" s="83">
        <f>SUM(F8:F18)</f>
        <v>28600</v>
      </c>
    </row>
    <row r="20" spans="1:6" ht="15.75">
      <c r="A20" s="246" t="s">
        <v>488</v>
      </c>
      <c r="B20" s="247"/>
      <c r="C20" s="247"/>
      <c r="D20" s="247"/>
      <c r="E20" s="248"/>
      <c r="F20" s="83">
        <f>+F19*18%</f>
        <v>5148</v>
      </c>
    </row>
    <row r="21" spans="1:6" ht="17.45" customHeight="1">
      <c r="A21" s="260" t="s">
        <v>17</v>
      </c>
      <c r="B21" s="261"/>
      <c r="C21" s="261"/>
      <c r="D21" s="261"/>
      <c r="E21" s="262"/>
      <c r="F21" s="84">
        <f>SUM(F19:F20)</f>
        <v>33748</v>
      </c>
    </row>
    <row r="22" spans="1:6" ht="33" customHeight="1">
      <c r="A22" s="263" t="s">
        <v>565</v>
      </c>
      <c r="B22" s="264"/>
      <c r="C22" s="264"/>
      <c r="D22" s="264"/>
      <c r="E22" s="264"/>
      <c r="F22" s="265"/>
    </row>
    <row r="23" spans="1:6" ht="15" customHeight="1">
      <c r="A23" s="266" t="s">
        <v>18</v>
      </c>
      <c r="B23" s="267"/>
      <c r="C23" s="268" t="s">
        <v>19</v>
      </c>
      <c r="D23" s="269"/>
      <c r="E23" s="269"/>
      <c r="F23" s="270"/>
    </row>
    <row r="24" spans="1:6" ht="15" customHeight="1">
      <c r="A24" s="277" t="s">
        <v>359</v>
      </c>
      <c r="B24" s="278"/>
      <c r="C24" s="279" t="s">
        <v>21</v>
      </c>
      <c r="D24" s="278"/>
      <c r="E24" s="278"/>
      <c r="F24" s="280"/>
    </row>
    <row r="25" spans="1:6" ht="15" customHeight="1">
      <c r="A25" s="277" t="s">
        <v>22</v>
      </c>
      <c r="B25" s="278"/>
      <c r="C25" s="279" t="s">
        <v>23</v>
      </c>
      <c r="D25" s="278"/>
      <c r="E25" s="278"/>
      <c r="F25" s="280"/>
    </row>
    <row r="26" spans="1:6" ht="15" customHeight="1">
      <c r="A26" s="284" t="s">
        <v>494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19">
    <mergeCell ref="A28:F28"/>
    <mergeCell ref="A20:E20"/>
    <mergeCell ref="A21:E21"/>
    <mergeCell ref="A22:F22"/>
    <mergeCell ref="A23:B23"/>
    <mergeCell ref="C23:F23"/>
    <mergeCell ref="A24:B24"/>
    <mergeCell ref="C24:F24"/>
    <mergeCell ref="A25:B25"/>
    <mergeCell ref="C25:F25"/>
    <mergeCell ref="A26:B26"/>
    <mergeCell ref="C26:F26"/>
    <mergeCell ref="A27:F27"/>
    <mergeCell ref="A19:E19"/>
    <mergeCell ref="B1:F1"/>
    <mergeCell ref="A2:F2"/>
    <mergeCell ref="C3:F3"/>
    <mergeCell ref="C4:F4"/>
    <mergeCell ref="C5:F5"/>
  </mergeCell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workbookViewId="0">
      <selection activeCell="I10" sqref="I10"/>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v>
      </c>
      <c r="C3" s="254" t="s">
        <v>546</v>
      </c>
      <c r="D3" s="255"/>
      <c r="E3" s="255"/>
      <c r="F3" s="256"/>
    </row>
    <row r="4" spans="1:6" ht="29.25" customHeight="1">
      <c r="A4" s="6"/>
      <c r="B4" s="7" t="s">
        <v>62</v>
      </c>
      <c r="C4" s="254" t="s">
        <v>486</v>
      </c>
      <c r="D4" s="255"/>
      <c r="E4" s="255"/>
      <c r="F4" s="256"/>
    </row>
    <row r="5" spans="1:6" ht="16.5" customHeight="1">
      <c r="A5" s="8"/>
      <c r="B5" s="2" t="s">
        <v>63</v>
      </c>
      <c r="C5" s="257" t="s">
        <v>9</v>
      </c>
      <c r="D5" s="258"/>
      <c r="E5" s="258"/>
      <c r="F5" s="259"/>
    </row>
    <row r="6" spans="1:6" ht="16.5">
      <c r="A6" s="9" t="s">
        <v>3</v>
      </c>
      <c r="B6" s="9" t="s">
        <v>4</v>
      </c>
      <c r="C6" s="9" t="s">
        <v>5</v>
      </c>
      <c r="D6" s="9" t="s">
        <v>10</v>
      </c>
      <c r="E6" s="9" t="s">
        <v>11</v>
      </c>
      <c r="F6" s="9" t="s">
        <v>12</v>
      </c>
    </row>
    <row r="7" spans="1:6" ht="22.7" customHeight="1">
      <c r="A7" s="74"/>
      <c r="B7" s="74"/>
      <c r="C7" s="75"/>
      <c r="D7" s="75"/>
      <c r="E7" s="74"/>
      <c r="F7" s="74"/>
    </row>
    <row r="8" spans="1:6" ht="15" customHeight="1">
      <c r="A8" s="52">
        <v>1</v>
      </c>
      <c r="B8" s="86" t="s">
        <v>547</v>
      </c>
      <c r="C8" s="68">
        <v>4</v>
      </c>
      <c r="D8" s="68" t="s">
        <v>13</v>
      </c>
      <c r="E8" s="69">
        <v>4850</v>
      </c>
      <c r="F8" s="69">
        <f>C8*E8</f>
        <v>19400</v>
      </c>
    </row>
    <row r="9" spans="1:6" ht="15" customHeight="1">
      <c r="A9" s="6"/>
      <c r="B9" s="85" t="s">
        <v>548</v>
      </c>
      <c r="C9" s="68"/>
      <c r="D9" s="68"/>
      <c r="E9" s="69"/>
      <c r="F9" s="69"/>
    </row>
    <row r="10" spans="1:6" ht="15" customHeight="1">
      <c r="A10" s="6"/>
      <c r="B10" s="86" t="s">
        <v>549</v>
      </c>
      <c r="C10" s="68"/>
      <c r="D10" s="68"/>
      <c r="E10" s="69"/>
      <c r="F10" s="69"/>
    </row>
    <row r="11" spans="1:6" ht="15" customHeight="1">
      <c r="A11" s="6"/>
      <c r="B11" s="86" t="s">
        <v>550</v>
      </c>
      <c r="C11" s="68"/>
      <c r="D11" s="68"/>
      <c r="E11" s="69"/>
      <c r="F11" s="69"/>
    </row>
    <row r="12" spans="1:6" ht="15" customHeight="1">
      <c r="A12" s="6"/>
      <c r="B12" s="101" t="s">
        <v>554</v>
      </c>
      <c r="C12" s="68"/>
      <c r="D12" s="68"/>
      <c r="E12" s="69"/>
      <c r="F12" s="69"/>
    </row>
    <row r="13" spans="1:6" ht="15" customHeight="1">
      <c r="A13" s="6"/>
      <c r="B13" s="102"/>
      <c r="C13" s="68"/>
      <c r="D13" s="68"/>
      <c r="E13" s="69"/>
      <c r="F13" s="69"/>
    </row>
    <row r="14" spans="1:6" ht="15" customHeight="1">
      <c r="A14" s="6">
        <v>2</v>
      </c>
      <c r="B14" s="102" t="s">
        <v>553</v>
      </c>
      <c r="C14" s="68">
        <v>2</v>
      </c>
      <c r="D14" s="68" t="s">
        <v>13</v>
      </c>
      <c r="E14" s="69">
        <v>2000</v>
      </c>
      <c r="F14" s="69">
        <f>C14*E14</f>
        <v>4000</v>
      </c>
    </row>
    <row r="15" spans="1:6" ht="15" customHeight="1">
      <c r="A15" s="6"/>
      <c r="B15" s="85" t="s">
        <v>551</v>
      </c>
      <c r="C15" s="68"/>
      <c r="D15" s="68"/>
      <c r="E15" s="69"/>
      <c r="F15" s="69"/>
    </row>
    <row r="16" spans="1:6" ht="15" customHeight="1">
      <c r="A16" s="6"/>
      <c r="B16" s="112"/>
      <c r="C16" s="68"/>
      <c r="D16" s="68"/>
      <c r="E16" s="69"/>
      <c r="F16" s="69"/>
    </row>
    <row r="17" spans="1:6" ht="15" customHeight="1">
      <c r="A17" s="6">
        <v>3</v>
      </c>
      <c r="B17" s="102" t="s">
        <v>552</v>
      </c>
      <c r="C17" s="68">
        <v>2</v>
      </c>
      <c r="D17" s="68" t="s">
        <v>13</v>
      </c>
      <c r="E17" s="69">
        <v>1200</v>
      </c>
      <c r="F17" s="69">
        <f>C17*E17</f>
        <v>2400</v>
      </c>
    </row>
    <row r="18" spans="1:6" ht="15" customHeight="1">
      <c r="A18" s="6"/>
      <c r="B18" s="85" t="s">
        <v>555</v>
      </c>
      <c r="C18" s="67"/>
      <c r="D18" s="67"/>
      <c r="E18" s="78"/>
      <c r="F18" s="69"/>
    </row>
    <row r="19" spans="1:6" ht="15" customHeight="1">
      <c r="A19" s="6"/>
      <c r="B19" s="50"/>
      <c r="C19" s="67"/>
      <c r="D19" s="67"/>
      <c r="E19" s="78"/>
      <c r="F19" s="69"/>
    </row>
    <row r="20" spans="1:6" ht="15" customHeight="1">
      <c r="A20" s="104"/>
      <c r="B20" s="111"/>
      <c r="C20" s="80"/>
      <c r="D20" s="80"/>
      <c r="E20" s="106"/>
      <c r="F20" s="82"/>
    </row>
    <row r="21" spans="1:6" ht="15.75">
      <c r="A21" s="246" t="s">
        <v>14</v>
      </c>
      <c r="B21" s="247"/>
      <c r="C21" s="247"/>
      <c r="D21" s="247"/>
      <c r="E21" s="248"/>
      <c r="F21" s="83">
        <f>SUM(F8:F20)</f>
        <v>25800</v>
      </c>
    </row>
    <row r="22" spans="1:6" ht="15.75">
      <c r="A22" s="246" t="s">
        <v>15</v>
      </c>
      <c r="B22" s="247"/>
      <c r="C22" s="247"/>
      <c r="D22" s="247"/>
      <c r="E22" s="248"/>
      <c r="F22" s="83">
        <f>+F21*9%</f>
        <v>2322</v>
      </c>
    </row>
    <row r="23" spans="1:6" ht="15.75">
      <c r="A23" s="246" t="s">
        <v>16</v>
      </c>
      <c r="B23" s="247"/>
      <c r="C23" s="247"/>
      <c r="D23" s="247"/>
      <c r="E23" s="248"/>
      <c r="F23" s="83">
        <f>+F21*9%</f>
        <v>2322</v>
      </c>
    </row>
    <row r="24" spans="1:6" ht="17.45" customHeight="1">
      <c r="A24" s="260" t="s">
        <v>17</v>
      </c>
      <c r="B24" s="261"/>
      <c r="C24" s="261"/>
      <c r="D24" s="261"/>
      <c r="E24" s="262"/>
      <c r="F24" s="84">
        <f>SUM(F21:F23)</f>
        <v>30444</v>
      </c>
    </row>
    <row r="25" spans="1:6" ht="33" customHeight="1">
      <c r="A25" s="263" t="s">
        <v>556</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21:E21"/>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topLeftCell="A4" workbookViewId="0">
      <selection activeCell="I20" sqref="I20"/>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v>
      </c>
      <c r="C3" s="254" t="s">
        <v>542</v>
      </c>
      <c r="D3" s="255"/>
      <c r="E3" s="255"/>
      <c r="F3" s="256"/>
    </row>
    <row r="4" spans="1:6" ht="29.25" customHeight="1">
      <c r="A4" s="6"/>
      <c r="B4" s="7" t="s">
        <v>62</v>
      </c>
      <c r="C4" s="254" t="s">
        <v>486</v>
      </c>
      <c r="D4" s="255"/>
      <c r="E4" s="255"/>
      <c r="F4" s="256"/>
    </row>
    <row r="5" spans="1:6" ht="16.5" customHeight="1">
      <c r="A5" s="8"/>
      <c r="B5" s="2" t="s">
        <v>63</v>
      </c>
      <c r="C5" s="257" t="s">
        <v>9</v>
      </c>
      <c r="D5" s="258"/>
      <c r="E5" s="258"/>
      <c r="F5" s="259"/>
    </row>
    <row r="6" spans="1:6" ht="16.5">
      <c r="A6" s="9" t="s">
        <v>3</v>
      </c>
      <c r="B6" s="9" t="s">
        <v>4</v>
      </c>
      <c r="C6" s="9" t="s">
        <v>5</v>
      </c>
      <c r="D6" s="9" t="s">
        <v>10</v>
      </c>
      <c r="E6" s="9" t="s">
        <v>11</v>
      </c>
      <c r="F6" s="9" t="s">
        <v>12</v>
      </c>
    </row>
    <row r="7" spans="1:6" ht="8.4499999999999993" customHeight="1">
      <c r="A7" s="74"/>
      <c r="B7" s="74"/>
      <c r="C7" s="75"/>
      <c r="D7" s="75"/>
      <c r="E7" s="74"/>
      <c r="F7" s="74"/>
    </row>
    <row r="8" spans="1:6" ht="15" customHeight="1">
      <c r="A8" s="74">
        <v>1</v>
      </c>
      <c r="B8" s="86" t="s">
        <v>476</v>
      </c>
      <c r="C8" s="68">
        <v>1</v>
      </c>
      <c r="D8" s="68" t="s">
        <v>60</v>
      </c>
      <c r="E8" s="69">
        <v>385000</v>
      </c>
      <c r="F8" s="69">
        <f>C8*E8</f>
        <v>385000</v>
      </c>
    </row>
    <row r="9" spans="1:6" ht="15" customHeight="1">
      <c r="A9" s="6"/>
      <c r="B9" s="85" t="s">
        <v>536</v>
      </c>
      <c r="C9" s="68"/>
      <c r="D9" s="68"/>
      <c r="E9" s="69"/>
      <c r="F9" s="69"/>
    </row>
    <row r="10" spans="1:6" ht="15" customHeight="1">
      <c r="A10" s="6"/>
      <c r="B10" s="86" t="s">
        <v>485</v>
      </c>
      <c r="C10" s="68"/>
      <c r="D10" s="68"/>
      <c r="E10" s="69"/>
      <c r="F10" s="69"/>
    </row>
    <row r="11" spans="1:6" ht="15" customHeight="1">
      <c r="A11" s="6"/>
      <c r="B11" s="86" t="s">
        <v>484</v>
      </c>
      <c r="C11" s="68"/>
      <c r="D11" s="68"/>
      <c r="E11" s="69"/>
      <c r="F11" s="69"/>
    </row>
    <row r="12" spans="1:6" ht="15" customHeight="1">
      <c r="A12" s="6"/>
      <c r="B12" s="101" t="s">
        <v>477</v>
      </c>
      <c r="C12" s="68"/>
      <c r="D12" s="68"/>
      <c r="E12" s="69"/>
      <c r="F12" s="69"/>
    </row>
    <row r="13" spans="1:6" ht="15" customHeight="1">
      <c r="A13" s="6"/>
      <c r="B13" s="102" t="s">
        <v>479</v>
      </c>
      <c r="C13" s="68"/>
      <c r="D13" s="68"/>
      <c r="E13" s="69"/>
      <c r="F13" s="69"/>
    </row>
    <row r="14" spans="1:6" ht="15" customHeight="1">
      <c r="A14" s="6"/>
      <c r="B14" s="102" t="s">
        <v>478</v>
      </c>
      <c r="C14" s="68"/>
      <c r="D14" s="68"/>
      <c r="E14" s="69"/>
      <c r="F14" s="69"/>
    </row>
    <row r="15" spans="1:6" ht="15" customHeight="1">
      <c r="A15" s="6"/>
      <c r="B15" s="85" t="s">
        <v>480</v>
      </c>
      <c r="C15" s="68"/>
      <c r="D15" s="68"/>
      <c r="E15" s="69"/>
      <c r="F15" s="69"/>
    </row>
    <row r="16" spans="1:6" ht="15" customHeight="1">
      <c r="A16" s="6"/>
      <c r="B16" s="77" t="s">
        <v>481</v>
      </c>
      <c r="C16" s="68"/>
      <c r="D16" s="68"/>
      <c r="E16" s="69"/>
      <c r="F16" s="69"/>
    </row>
    <row r="17" spans="1:6" ht="15" customHeight="1">
      <c r="A17" s="6"/>
      <c r="B17" s="103" t="s">
        <v>482</v>
      </c>
      <c r="C17" s="67"/>
      <c r="D17" s="67"/>
      <c r="E17" s="78"/>
      <c r="F17" s="69"/>
    </row>
    <row r="18" spans="1:6" ht="15" customHeight="1">
      <c r="A18" s="6"/>
      <c r="B18" s="50" t="s">
        <v>483</v>
      </c>
      <c r="C18" s="67"/>
      <c r="D18" s="67"/>
      <c r="E18" s="78"/>
      <c r="F18" s="69"/>
    </row>
    <row r="19" spans="1:6" ht="9.75" customHeight="1">
      <c r="A19" s="6"/>
      <c r="B19" s="30"/>
      <c r="C19" s="67"/>
      <c r="D19" s="67"/>
      <c r="E19" s="78"/>
      <c r="F19" s="69"/>
    </row>
    <row r="20" spans="1:6" ht="15" customHeight="1">
      <c r="A20" s="6">
        <v>2</v>
      </c>
      <c r="B20" s="50" t="s">
        <v>543</v>
      </c>
      <c r="C20" s="67">
        <v>1</v>
      </c>
      <c r="D20" s="67" t="s">
        <v>154</v>
      </c>
      <c r="E20" s="78">
        <v>98000</v>
      </c>
      <c r="F20" s="69">
        <f>C20*E20</f>
        <v>98000</v>
      </c>
    </row>
    <row r="21" spans="1:6" ht="15" customHeight="1">
      <c r="A21" s="6"/>
      <c r="B21" s="50" t="s">
        <v>537</v>
      </c>
      <c r="C21" s="67"/>
      <c r="D21" s="67"/>
      <c r="E21" s="78"/>
      <c r="F21" s="69"/>
    </row>
    <row r="22" spans="1:6" ht="15" customHeight="1">
      <c r="A22" s="6"/>
      <c r="B22" s="108" t="s">
        <v>54</v>
      </c>
      <c r="C22" s="67"/>
      <c r="D22" s="67"/>
      <c r="E22" s="78"/>
      <c r="F22" s="69"/>
    </row>
    <row r="23" spans="1:6" ht="15" customHeight="1">
      <c r="A23" s="6"/>
      <c r="B23" s="108" t="s">
        <v>51</v>
      </c>
      <c r="C23" s="67"/>
      <c r="D23" s="67"/>
      <c r="E23" s="78"/>
      <c r="F23" s="69"/>
    </row>
    <row r="24" spans="1:6" ht="15" customHeight="1">
      <c r="A24" s="6"/>
      <c r="B24" s="108" t="s">
        <v>544</v>
      </c>
      <c r="C24" s="67"/>
      <c r="D24" s="67"/>
      <c r="E24" s="78"/>
      <c r="F24" s="69"/>
    </row>
    <row r="25" spans="1:6" ht="15" customHeight="1">
      <c r="A25" s="104"/>
      <c r="B25" s="111" t="s">
        <v>545</v>
      </c>
      <c r="C25" s="80"/>
      <c r="D25" s="80"/>
      <c r="E25" s="106"/>
      <c r="F25" s="82"/>
    </row>
    <row r="26" spans="1:6" ht="15.75">
      <c r="A26" s="246" t="s">
        <v>14</v>
      </c>
      <c r="B26" s="247"/>
      <c r="C26" s="247"/>
      <c r="D26" s="247"/>
      <c r="E26" s="248"/>
      <c r="F26" s="83">
        <f>SUM(F8:F25)</f>
        <v>483000</v>
      </c>
    </row>
    <row r="27" spans="1:6" ht="15.75">
      <c r="A27" s="246" t="s">
        <v>15</v>
      </c>
      <c r="B27" s="247"/>
      <c r="C27" s="247"/>
      <c r="D27" s="247"/>
      <c r="E27" s="248"/>
      <c r="F27" s="83">
        <f>+F26*9%</f>
        <v>43470</v>
      </c>
    </row>
    <row r="28" spans="1:6" ht="15.75">
      <c r="A28" s="246" t="s">
        <v>16</v>
      </c>
      <c r="B28" s="247"/>
      <c r="C28" s="247"/>
      <c r="D28" s="247"/>
      <c r="E28" s="248"/>
      <c r="F28" s="83">
        <f>+F26*9%</f>
        <v>43470</v>
      </c>
    </row>
    <row r="29" spans="1:6" ht="17.45" customHeight="1">
      <c r="A29" s="260" t="s">
        <v>17</v>
      </c>
      <c r="B29" s="261"/>
      <c r="C29" s="261"/>
      <c r="D29" s="261"/>
      <c r="E29" s="262"/>
      <c r="F29" s="84">
        <f>SUM(F26:F28)</f>
        <v>569940</v>
      </c>
    </row>
    <row r="30" spans="1:6" ht="33" customHeight="1">
      <c r="A30" s="263" t="s">
        <v>541</v>
      </c>
      <c r="B30" s="264"/>
      <c r="C30" s="264"/>
      <c r="D30" s="264"/>
      <c r="E30" s="264"/>
      <c r="F30" s="265"/>
    </row>
    <row r="31" spans="1:6" ht="15" customHeight="1">
      <c r="A31" s="266" t="s">
        <v>18</v>
      </c>
      <c r="B31" s="267"/>
      <c r="C31" s="268" t="s">
        <v>19</v>
      </c>
      <c r="D31" s="269"/>
      <c r="E31" s="269"/>
      <c r="F31" s="270"/>
    </row>
    <row r="32" spans="1:6" ht="15" customHeight="1">
      <c r="A32" s="277" t="s">
        <v>20</v>
      </c>
      <c r="B32" s="278"/>
      <c r="C32" s="279" t="s">
        <v>21</v>
      </c>
      <c r="D32" s="278"/>
      <c r="E32" s="278"/>
      <c r="F32" s="280"/>
    </row>
    <row r="33" spans="1:6" ht="15" customHeight="1">
      <c r="A33" s="277" t="s">
        <v>22</v>
      </c>
      <c r="B33" s="278"/>
      <c r="C33" s="279" t="s">
        <v>23</v>
      </c>
      <c r="D33" s="278"/>
      <c r="E33" s="278"/>
      <c r="F33" s="280"/>
    </row>
    <row r="34" spans="1:6" ht="15" customHeight="1">
      <c r="A34" s="284" t="s">
        <v>24</v>
      </c>
      <c r="B34" s="285"/>
      <c r="C34" s="284" t="s">
        <v>25</v>
      </c>
      <c r="D34" s="285"/>
      <c r="E34" s="285"/>
      <c r="F34" s="286"/>
    </row>
    <row r="35" spans="1:6" ht="27" customHeight="1">
      <c r="A35" s="271" t="s">
        <v>26</v>
      </c>
      <c r="B35" s="272"/>
      <c r="C35" s="272"/>
      <c r="D35" s="272"/>
      <c r="E35" s="272"/>
      <c r="F35" s="273"/>
    </row>
    <row r="36" spans="1:6" ht="26.45" customHeight="1">
      <c r="A36" s="274" t="s">
        <v>27</v>
      </c>
      <c r="B36" s="275"/>
      <c r="C36" s="275"/>
      <c r="D36" s="275"/>
      <c r="E36" s="275"/>
      <c r="F36" s="276"/>
    </row>
  </sheetData>
  <mergeCells count="20">
    <mergeCell ref="A35:F35"/>
    <mergeCell ref="A36:F36"/>
    <mergeCell ref="A32:B32"/>
    <mergeCell ref="C32:F32"/>
    <mergeCell ref="A33:B33"/>
    <mergeCell ref="C33:F33"/>
    <mergeCell ref="A34:B34"/>
    <mergeCell ref="C34:F34"/>
    <mergeCell ref="A27:E27"/>
    <mergeCell ref="A28:E28"/>
    <mergeCell ref="A29:E29"/>
    <mergeCell ref="A30:F30"/>
    <mergeCell ref="A31:B31"/>
    <mergeCell ref="C31:F31"/>
    <mergeCell ref="A26:E26"/>
    <mergeCell ref="B1:F1"/>
    <mergeCell ref="A2:F2"/>
    <mergeCell ref="C3:F3"/>
    <mergeCell ref="C4:F4"/>
    <mergeCell ref="C5:F5"/>
  </mergeCells>
  <pageMargins left="0.7" right="0.7" top="0.75" bottom="0.75" header="0.3" footer="0.3"/>
  <pageSetup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workbookViewId="0">
      <selection activeCell="A31" sqref="A1:F31"/>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529</v>
      </c>
      <c r="D3" s="255"/>
      <c r="E3" s="255"/>
      <c r="F3" s="256"/>
    </row>
    <row r="4" spans="1:6" ht="29.25" customHeight="1">
      <c r="A4" s="6"/>
      <c r="B4" s="7" t="s">
        <v>8</v>
      </c>
      <c r="C4" s="254" t="s">
        <v>486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89"/>
      <c r="D7" s="89"/>
      <c r="E7" s="90"/>
      <c r="F7" s="90"/>
    </row>
    <row r="8" spans="1:6" ht="16.5">
      <c r="A8" s="52">
        <v>1</v>
      </c>
      <c r="B8" s="15" t="s">
        <v>530</v>
      </c>
      <c r="C8" s="89">
        <v>2</v>
      </c>
      <c r="D8" s="89" t="s">
        <v>412</v>
      </c>
      <c r="E8" s="90">
        <v>6500</v>
      </c>
      <c r="F8" s="90">
        <f>C8*E8</f>
        <v>13000</v>
      </c>
    </row>
    <row r="9" spans="1:6" ht="15.95" customHeight="1">
      <c r="A9" s="6">
        <v>2</v>
      </c>
      <c r="B9" s="86" t="s">
        <v>531</v>
      </c>
      <c r="C9" s="89">
        <v>2</v>
      </c>
      <c r="D9" s="89" t="s">
        <v>412</v>
      </c>
      <c r="E9" s="90">
        <v>6500</v>
      </c>
      <c r="F9" s="90">
        <f>C9*E9</f>
        <v>13000</v>
      </c>
    </row>
    <row r="10" spans="1:6" ht="17.45" customHeight="1">
      <c r="A10" s="52">
        <v>3</v>
      </c>
      <c r="B10" s="86" t="s">
        <v>532</v>
      </c>
      <c r="C10" s="89">
        <v>3</v>
      </c>
      <c r="D10" s="89" t="s">
        <v>412</v>
      </c>
      <c r="E10" s="90">
        <v>6500</v>
      </c>
      <c r="F10" s="90">
        <f>C10*E10</f>
        <v>19500</v>
      </c>
    </row>
    <row r="11" spans="1:6" ht="15.95" customHeight="1">
      <c r="A11" s="6">
        <v>4</v>
      </c>
      <c r="B11" s="101" t="s">
        <v>533</v>
      </c>
      <c r="C11" s="68">
        <v>1</v>
      </c>
      <c r="D11" s="68" t="s">
        <v>304</v>
      </c>
      <c r="E11" s="69">
        <v>3800</v>
      </c>
      <c r="F11" s="69">
        <f>C11*E11</f>
        <v>3800</v>
      </c>
    </row>
    <row r="12" spans="1:6" ht="15.95" customHeight="1">
      <c r="A12" s="52">
        <v>5</v>
      </c>
      <c r="B12" s="102" t="s">
        <v>534</v>
      </c>
      <c r="C12" s="68">
        <v>1</v>
      </c>
      <c r="D12" s="68" t="s">
        <v>304</v>
      </c>
      <c r="E12" s="69">
        <v>3000</v>
      </c>
      <c r="F12" s="69">
        <f>C12*E12</f>
        <v>3000</v>
      </c>
    </row>
    <row r="13" spans="1:6" ht="15.95" customHeight="1">
      <c r="A13" s="6"/>
      <c r="B13" s="15"/>
      <c r="C13" s="68"/>
      <c r="D13" s="68"/>
      <c r="E13" s="69"/>
      <c r="F13" s="69"/>
    </row>
    <row r="14" spans="1:6" ht="15.95" customHeight="1">
      <c r="A14" s="6"/>
      <c r="B14" s="15"/>
      <c r="C14" s="68"/>
      <c r="D14" s="68"/>
      <c r="E14" s="69"/>
      <c r="F14" s="69"/>
    </row>
    <row r="15" spans="1:6" ht="15.95" customHeight="1">
      <c r="A15" s="6"/>
      <c r="B15" s="102"/>
      <c r="C15" s="68"/>
      <c r="D15" s="68"/>
      <c r="E15" s="69"/>
      <c r="F15" s="69"/>
    </row>
    <row r="16" spans="1:6" ht="15.95" customHeight="1">
      <c r="A16" s="6"/>
      <c r="B16" s="102"/>
      <c r="C16" s="68"/>
      <c r="D16" s="68"/>
      <c r="E16" s="69"/>
      <c r="F16" s="69"/>
    </row>
    <row r="17" spans="1:6" ht="15.95" customHeight="1">
      <c r="A17" s="6"/>
      <c r="B17" s="15"/>
      <c r="C17" s="68"/>
      <c r="D17" s="68"/>
      <c r="E17" s="69"/>
      <c r="F17" s="69"/>
    </row>
    <row r="18" spans="1:6" ht="15.95" customHeight="1">
      <c r="A18" s="6"/>
      <c r="B18" s="107"/>
      <c r="C18" s="68"/>
      <c r="D18" s="68"/>
      <c r="E18" s="69"/>
      <c r="F18" s="69"/>
    </row>
    <row r="19" spans="1:6" ht="15.95" customHeight="1">
      <c r="A19" s="6"/>
      <c r="B19" s="85"/>
      <c r="C19" s="68"/>
      <c r="D19" s="68"/>
      <c r="E19" s="69"/>
      <c r="F19" s="69"/>
    </row>
    <row r="20" spans="1:6" ht="15.75">
      <c r="A20" s="79"/>
      <c r="B20" s="29"/>
      <c r="C20" s="80"/>
      <c r="D20" s="80"/>
      <c r="E20" s="81"/>
      <c r="F20" s="82"/>
    </row>
    <row r="21" spans="1:6" ht="15.75">
      <c r="A21" s="246" t="s">
        <v>14</v>
      </c>
      <c r="B21" s="247"/>
      <c r="C21" s="247"/>
      <c r="D21" s="247"/>
      <c r="E21" s="248"/>
      <c r="F21" s="83">
        <f>SUM(F8:F20)</f>
        <v>52300</v>
      </c>
    </row>
    <row r="22" spans="1:6" ht="15.75">
      <c r="A22" s="246" t="s">
        <v>15</v>
      </c>
      <c r="B22" s="247"/>
      <c r="C22" s="247"/>
      <c r="D22" s="247"/>
      <c r="E22" s="248"/>
      <c r="F22" s="83">
        <f>+F21*9%</f>
        <v>4707</v>
      </c>
    </row>
    <row r="23" spans="1:6" ht="15.75">
      <c r="A23" s="246" t="s">
        <v>16</v>
      </c>
      <c r="B23" s="247"/>
      <c r="C23" s="247"/>
      <c r="D23" s="247"/>
      <c r="E23" s="248"/>
      <c r="F23" s="83">
        <f>+F21*9%</f>
        <v>4707</v>
      </c>
    </row>
    <row r="24" spans="1:6" ht="17.45" customHeight="1">
      <c r="A24" s="260" t="s">
        <v>17</v>
      </c>
      <c r="B24" s="261"/>
      <c r="C24" s="261"/>
      <c r="D24" s="261"/>
      <c r="E24" s="262"/>
      <c r="F24" s="84">
        <f>SUM(F21:F23)</f>
        <v>61714</v>
      </c>
    </row>
    <row r="25" spans="1:6" ht="33" customHeight="1">
      <c r="A25" s="263" t="s">
        <v>535</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21:E21"/>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topLeftCell="A16" workbookViewId="0">
      <selection activeCell="I7" sqref="I7"/>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518</v>
      </c>
      <c r="D3" s="255"/>
      <c r="E3" s="255"/>
      <c r="F3" s="256"/>
    </row>
    <row r="4" spans="1:6" ht="29.25" customHeight="1">
      <c r="A4" s="6"/>
      <c r="B4" s="7" t="s">
        <v>8</v>
      </c>
      <c r="C4" s="254" t="s">
        <v>486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15" t="s">
        <v>528</v>
      </c>
      <c r="C8" s="68">
        <v>1</v>
      </c>
      <c r="D8" s="68" t="s">
        <v>60</v>
      </c>
      <c r="E8" s="69">
        <v>7500</v>
      </c>
      <c r="F8" s="69">
        <f>C8*E8</f>
        <v>7500</v>
      </c>
    </row>
    <row r="9" spans="1:6" ht="15.95" customHeight="1">
      <c r="A9" s="6"/>
      <c r="B9" s="86" t="s">
        <v>460</v>
      </c>
      <c r="C9" s="68"/>
      <c r="D9" s="68"/>
      <c r="E9" s="69"/>
      <c r="F9" s="69"/>
    </row>
    <row r="10" spans="1:6" ht="17.45" customHeight="1">
      <c r="A10" s="6"/>
      <c r="B10" s="86" t="s">
        <v>519</v>
      </c>
      <c r="C10" s="68"/>
      <c r="D10" s="68"/>
      <c r="E10" s="69"/>
      <c r="F10" s="69"/>
    </row>
    <row r="11" spans="1:6" ht="15.95" customHeight="1">
      <c r="A11" s="6"/>
      <c r="B11" s="101" t="s">
        <v>520</v>
      </c>
      <c r="C11" s="68"/>
      <c r="D11" s="68"/>
      <c r="E11" s="69"/>
      <c r="F11" s="69"/>
    </row>
    <row r="12" spans="1:6" ht="15.95" customHeight="1">
      <c r="A12" s="6">
        <v>2</v>
      </c>
      <c r="B12" s="102" t="s">
        <v>521</v>
      </c>
      <c r="C12" s="68">
        <v>1</v>
      </c>
      <c r="D12" s="68" t="s">
        <v>60</v>
      </c>
      <c r="E12" s="69">
        <v>4000</v>
      </c>
      <c r="F12" s="69">
        <f>C12*E12</f>
        <v>4000</v>
      </c>
    </row>
    <row r="13" spans="1:6" ht="15.95" customHeight="1">
      <c r="A13" s="6">
        <v>3</v>
      </c>
      <c r="B13" s="15" t="s">
        <v>523</v>
      </c>
      <c r="C13" s="68">
        <v>1</v>
      </c>
      <c r="D13" s="68" t="s">
        <v>13</v>
      </c>
      <c r="E13" s="69">
        <v>25000</v>
      </c>
      <c r="F13" s="69">
        <f>C13*E13</f>
        <v>25000</v>
      </c>
    </row>
    <row r="14" spans="1:6" ht="15.95" customHeight="1">
      <c r="A14" s="6">
        <v>4</v>
      </c>
      <c r="B14" s="15" t="s">
        <v>525</v>
      </c>
      <c r="C14" s="68">
        <v>1</v>
      </c>
      <c r="D14" s="68" t="s">
        <v>13</v>
      </c>
      <c r="E14" s="69">
        <v>21500</v>
      </c>
      <c r="F14" s="69">
        <f>C14*E14</f>
        <v>21500</v>
      </c>
    </row>
    <row r="15" spans="1:6" ht="15.95" customHeight="1">
      <c r="A15" s="6"/>
      <c r="B15" s="102" t="s">
        <v>522</v>
      </c>
      <c r="C15" s="68"/>
      <c r="D15" s="68"/>
      <c r="E15" s="69"/>
      <c r="F15" s="69"/>
    </row>
    <row r="16" spans="1:6" ht="15.95" customHeight="1">
      <c r="A16" s="6">
        <v>5</v>
      </c>
      <c r="B16" s="102" t="s">
        <v>526</v>
      </c>
      <c r="C16" s="68">
        <v>15</v>
      </c>
      <c r="D16" s="68" t="s">
        <v>13</v>
      </c>
      <c r="E16" s="69">
        <v>150</v>
      </c>
      <c r="F16" s="69">
        <f>C16*E16</f>
        <v>2250</v>
      </c>
    </row>
    <row r="17" spans="1:6" ht="15.95" customHeight="1">
      <c r="A17" s="6">
        <v>6</v>
      </c>
      <c r="B17" s="15" t="s">
        <v>524</v>
      </c>
      <c r="C17" s="68">
        <v>1</v>
      </c>
      <c r="D17" s="68" t="s">
        <v>13</v>
      </c>
      <c r="E17" s="69">
        <v>30020</v>
      </c>
      <c r="F17" s="69">
        <f>C17*E17</f>
        <v>30020</v>
      </c>
    </row>
    <row r="18" spans="1:6" ht="15.95" customHeight="1">
      <c r="A18" s="6"/>
      <c r="B18" s="107"/>
      <c r="C18" s="68"/>
      <c r="D18" s="68"/>
      <c r="E18" s="69"/>
      <c r="F18" s="69"/>
    </row>
    <row r="19" spans="1:6" ht="15.95" customHeight="1">
      <c r="A19" s="6"/>
      <c r="B19" s="85"/>
      <c r="C19" s="68"/>
      <c r="D19" s="68"/>
      <c r="E19" s="69"/>
      <c r="F19" s="69"/>
    </row>
    <row r="20" spans="1:6" ht="15.75">
      <c r="A20" s="79"/>
      <c r="B20" s="29"/>
      <c r="C20" s="80"/>
      <c r="D20" s="80"/>
      <c r="E20" s="81"/>
      <c r="F20" s="82"/>
    </row>
    <row r="21" spans="1:6" ht="15.75">
      <c r="A21" s="246" t="s">
        <v>14</v>
      </c>
      <c r="B21" s="247"/>
      <c r="C21" s="247"/>
      <c r="D21" s="247"/>
      <c r="E21" s="248"/>
      <c r="F21" s="83">
        <f>SUM(F8:F20)</f>
        <v>90270</v>
      </c>
    </row>
    <row r="22" spans="1:6" ht="15.75">
      <c r="A22" s="246" t="s">
        <v>15</v>
      </c>
      <c r="B22" s="247"/>
      <c r="C22" s="247"/>
      <c r="D22" s="247"/>
      <c r="E22" s="248"/>
      <c r="F22" s="83">
        <f>+F21*9%</f>
        <v>8124.2999999999993</v>
      </c>
    </row>
    <row r="23" spans="1:6" ht="15.75">
      <c r="A23" s="246" t="s">
        <v>16</v>
      </c>
      <c r="B23" s="247"/>
      <c r="C23" s="247"/>
      <c r="D23" s="247"/>
      <c r="E23" s="248"/>
      <c r="F23" s="83">
        <f>+F21*9%</f>
        <v>8124.2999999999993</v>
      </c>
    </row>
    <row r="24" spans="1:6" ht="17.45" customHeight="1">
      <c r="A24" s="260" t="s">
        <v>17</v>
      </c>
      <c r="B24" s="261"/>
      <c r="C24" s="261"/>
      <c r="D24" s="261"/>
      <c r="E24" s="262"/>
      <c r="F24" s="84">
        <f>SUM(F21:F23)</f>
        <v>106518.6</v>
      </c>
    </row>
    <row r="25" spans="1:6" ht="33" customHeight="1">
      <c r="A25" s="263" t="s">
        <v>527</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21:E21"/>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
  <sheetViews>
    <sheetView workbookViewId="0">
      <selection activeCell="G12" sqref="G12"/>
    </sheetView>
  </sheetViews>
  <sheetFormatPr defaultRowHeight="15"/>
  <cols>
    <col min="1" max="1" width="5.5703125" customWidth="1"/>
    <col min="2" max="2" width="49.140625" customWidth="1"/>
    <col min="3" max="3" width="5.28515625" customWidth="1"/>
    <col min="4" max="4" width="6.140625" customWidth="1"/>
    <col min="5" max="5" width="10.7109375" customWidth="1"/>
    <col min="6" max="6" width="12.85546875" customWidth="1"/>
  </cols>
  <sheetData>
    <row r="1" spans="1:6" ht="108.75" customHeight="1">
      <c r="A1" s="1"/>
      <c r="B1" s="290" t="s">
        <v>0</v>
      </c>
      <c r="C1" s="290"/>
      <c r="D1" s="290"/>
      <c r="E1" s="290"/>
      <c r="F1" s="291"/>
    </row>
    <row r="2" spans="1:6" ht="18" customHeight="1">
      <c r="A2" s="251" t="s">
        <v>6</v>
      </c>
      <c r="B2" s="252"/>
      <c r="C2" s="252"/>
      <c r="D2" s="252"/>
      <c r="E2" s="252"/>
      <c r="F2" s="253"/>
    </row>
    <row r="3" spans="1:6" ht="17.25">
      <c r="A3" s="4" t="s">
        <v>7</v>
      </c>
      <c r="B3" s="5" t="s">
        <v>514</v>
      </c>
      <c r="C3" s="254" t="s">
        <v>496</v>
      </c>
      <c r="D3" s="255"/>
      <c r="E3" s="255"/>
      <c r="F3" s="256"/>
    </row>
    <row r="4" spans="1:6" ht="29.25" customHeight="1">
      <c r="A4" s="6"/>
      <c r="B4" s="7" t="s">
        <v>515</v>
      </c>
      <c r="C4" s="254" t="s">
        <v>486</v>
      </c>
      <c r="D4" s="255"/>
      <c r="E4" s="255"/>
      <c r="F4" s="256"/>
    </row>
    <row r="5" spans="1:6" ht="16.5" customHeight="1">
      <c r="A5" s="8"/>
      <c r="B5" s="2" t="s">
        <v>516</v>
      </c>
      <c r="C5" s="257" t="s">
        <v>9</v>
      </c>
      <c r="D5" s="258"/>
      <c r="E5" s="258"/>
      <c r="F5" s="259"/>
    </row>
    <row r="6" spans="1:6" ht="16.5">
      <c r="A6" s="9" t="s">
        <v>3</v>
      </c>
      <c r="B6" s="9" t="s">
        <v>4</v>
      </c>
      <c r="C6" s="9" t="s">
        <v>5</v>
      </c>
      <c r="D6" s="9" t="s">
        <v>10</v>
      </c>
      <c r="E6" s="9" t="s">
        <v>11</v>
      </c>
      <c r="F6" s="9" t="s">
        <v>12</v>
      </c>
    </row>
    <row r="7" spans="1:6" ht="6.2" customHeight="1">
      <c r="A7" s="74"/>
      <c r="B7" s="74"/>
      <c r="C7" s="75"/>
      <c r="D7" s="75"/>
      <c r="E7" s="74"/>
      <c r="F7" s="74"/>
    </row>
    <row r="8" spans="1:6" ht="15" customHeight="1">
      <c r="A8" s="74">
        <v>1</v>
      </c>
      <c r="B8" s="86" t="s">
        <v>508</v>
      </c>
      <c r="C8" s="68">
        <v>1</v>
      </c>
      <c r="D8" s="68" t="s">
        <v>154</v>
      </c>
      <c r="E8" s="69">
        <v>873500</v>
      </c>
      <c r="F8" s="69">
        <f>C8*E8</f>
        <v>873500</v>
      </c>
    </row>
    <row r="9" spans="1:6" ht="15" customHeight="1">
      <c r="A9" s="6"/>
      <c r="B9" s="85" t="s">
        <v>497</v>
      </c>
      <c r="C9" s="68"/>
      <c r="D9" s="68"/>
      <c r="E9" s="69"/>
      <c r="F9" s="69"/>
    </row>
    <row r="10" spans="1:6" ht="15" customHeight="1">
      <c r="A10" s="6"/>
      <c r="B10" s="86" t="s">
        <v>44</v>
      </c>
      <c r="C10" s="68"/>
      <c r="D10" s="68"/>
      <c r="E10" s="69"/>
      <c r="F10" s="69"/>
    </row>
    <row r="11" spans="1:6" ht="15" customHeight="1">
      <c r="A11" s="6"/>
      <c r="B11" s="86" t="s">
        <v>498</v>
      </c>
      <c r="C11" s="68"/>
      <c r="D11" s="68"/>
      <c r="E11" s="69"/>
      <c r="F11" s="69"/>
    </row>
    <row r="12" spans="1:6" ht="15" customHeight="1">
      <c r="A12" s="6"/>
      <c r="B12" s="86" t="s">
        <v>517</v>
      </c>
      <c r="C12" s="68"/>
      <c r="D12" s="68"/>
      <c r="E12" s="69"/>
      <c r="F12" s="69"/>
    </row>
    <row r="13" spans="1:6" ht="15" customHeight="1">
      <c r="A13" s="6"/>
      <c r="B13" s="86" t="s">
        <v>499</v>
      </c>
      <c r="C13" s="68"/>
      <c r="D13" s="68"/>
      <c r="E13" s="69"/>
      <c r="F13" s="69"/>
    </row>
    <row r="14" spans="1:6" ht="15" customHeight="1">
      <c r="A14" s="6"/>
      <c r="B14" s="86" t="s">
        <v>500</v>
      </c>
      <c r="C14" s="68"/>
      <c r="D14" s="68"/>
      <c r="E14" s="69"/>
      <c r="F14" s="69"/>
    </row>
    <row r="15" spans="1:6" ht="15" customHeight="1">
      <c r="A15" s="6"/>
      <c r="B15" s="86" t="s">
        <v>509</v>
      </c>
      <c r="C15" s="68"/>
      <c r="D15" s="68"/>
      <c r="E15" s="69"/>
      <c r="F15" s="69"/>
    </row>
    <row r="16" spans="1:6" ht="15" customHeight="1">
      <c r="A16" s="6"/>
      <c r="B16" s="86" t="s">
        <v>501</v>
      </c>
      <c r="C16" s="68"/>
      <c r="D16" s="68"/>
      <c r="E16" s="69"/>
      <c r="F16" s="69"/>
    </row>
    <row r="17" spans="1:6" ht="15" customHeight="1">
      <c r="A17" s="6">
        <v>2</v>
      </c>
      <c r="B17" s="86" t="s">
        <v>502</v>
      </c>
      <c r="C17" s="68">
        <v>1</v>
      </c>
      <c r="D17" s="68" t="s">
        <v>60</v>
      </c>
      <c r="E17" s="69">
        <v>509500</v>
      </c>
      <c r="F17" s="69">
        <f>C17*E17</f>
        <v>509500</v>
      </c>
    </row>
    <row r="18" spans="1:6" ht="15" customHeight="1">
      <c r="A18" s="6"/>
      <c r="B18" s="86" t="s">
        <v>54</v>
      </c>
      <c r="C18" s="68"/>
      <c r="D18" s="68"/>
      <c r="E18" s="69"/>
      <c r="F18" s="69"/>
    </row>
    <row r="19" spans="1:6" ht="15" customHeight="1">
      <c r="A19" s="6"/>
      <c r="B19" s="86" t="s">
        <v>503</v>
      </c>
      <c r="C19" s="68"/>
      <c r="D19" s="68"/>
      <c r="E19" s="69"/>
      <c r="F19" s="69"/>
    </row>
    <row r="20" spans="1:6" ht="15" customHeight="1">
      <c r="A20" s="6"/>
      <c r="B20" s="86" t="s">
        <v>504</v>
      </c>
      <c r="C20" s="68"/>
      <c r="D20" s="68"/>
      <c r="E20" s="69"/>
      <c r="F20" s="69"/>
    </row>
    <row r="21" spans="1:6" ht="15" customHeight="1">
      <c r="A21" s="6"/>
      <c r="B21" s="86" t="s">
        <v>510</v>
      </c>
      <c r="C21" s="68"/>
      <c r="D21" s="68"/>
      <c r="E21" s="69"/>
      <c r="F21" s="69"/>
    </row>
    <row r="22" spans="1:6" ht="15" customHeight="1">
      <c r="A22" s="6"/>
      <c r="B22" s="86" t="s">
        <v>505</v>
      </c>
      <c r="C22" s="68"/>
      <c r="D22" s="68"/>
      <c r="E22" s="69"/>
      <c r="F22" s="69"/>
    </row>
    <row r="23" spans="1:6" ht="15" customHeight="1">
      <c r="A23" s="6"/>
      <c r="B23" s="86" t="s">
        <v>506</v>
      </c>
      <c r="C23" s="68"/>
      <c r="D23" s="68"/>
      <c r="E23" s="69"/>
      <c r="F23" s="69"/>
    </row>
    <row r="24" spans="1:6" ht="15" customHeight="1">
      <c r="A24" s="104"/>
      <c r="B24" s="105" t="s">
        <v>507</v>
      </c>
      <c r="C24" s="80"/>
      <c r="D24" s="80"/>
      <c r="E24" s="106"/>
      <c r="F24" s="82"/>
    </row>
    <row r="25" spans="1:6" ht="15.75">
      <c r="A25" s="246" t="s">
        <v>14</v>
      </c>
      <c r="B25" s="247"/>
      <c r="C25" s="247"/>
      <c r="D25" s="247"/>
      <c r="E25" s="248"/>
      <c r="F25" s="83">
        <f>SUM(F8:F24)</f>
        <v>1383000</v>
      </c>
    </row>
    <row r="26" spans="1:6" ht="15.75">
      <c r="A26" s="246" t="s">
        <v>15</v>
      </c>
      <c r="B26" s="247"/>
      <c r="C26" s="247"/>
      <c r="D26" s="247"/>
      <c r="E26" s="248"/>
      <c r="F26" s="83">
        <f>+F25*9%</f>
        <v>124470</v>
      </c>
    </row>
    <row r="27" spans="1:6" ht="15.75">
      <c r="A27" s="246" t="s">
        <v>16</v>
      </c>
      <c r="B27" s="247"/>
      <c r="C27" s="247"/>
      <c r="D27" s="247"/>
      <c r="E27" s="248"/>
      <c r="F27" s="83">
        <f>+F25*9%</f>
        <v>124470</v>
      </c>
    </row>
    <row r="28" spans="1:6" ht="17.45" customHeight="1">
      <c r="A28" s="260" t="s">
        <v>17</v>
      </c>
      <c r="B28" s="261"/>
      <c r="C28" s="261"/>
      <c r="D28" s="261"/>
      <c r="E28" s="262"/>
      <c r="F28" s="84">
        <f>SUM(F25:F27)</f>
        <v>1631940</v>
      </c>
    </row>
    <row r="29" spans="1:6" ht="33" customHeight="1">
      <c r="A29" s="263" t="s">
        <v>513</v>
      </c>
      <c r="B29" s="264"/>
      <c r="C29" s="264"/>
      <c r="D29" s="264"/>
      <c r="E29" s="264"/>
      <c r="F29" s="265"/>
    </row>
    <row r="30" spans="1:6" ht="15" customHeight="1">
      <c r="A30" s="266" t="s">
        <v>18</v>
      </c>
      <c r="B30" s="267"/>
      <c r="C30" s="268" t="s">
        <v>19</v>
      </c>
      <c r="D30" s="269"/>
      <c r="E30" s="269"/>
      <c r="F30" s="270"/>
    </row>
    <row r="31" spans="1:6" ht="15" customHeight="1">
      <c r="A31" s="277" t="s">
        <v>20</v>
      </c>
      <c r="B31" s="278"/>
      <c r="C31" s="279" t="s">
        <v>21</v>
      </c>
      <c r="D31" s="278"/>
      <c r="E31" s="278"/>
      <c r="F31" s="280"/>
    </row>
    <row r="32" spans="1:6" ht="15" customHeight="1">
      <c r="A32" s="277" t="s">
        <v>511</v>
      </c>
      <c r="B32" s="278"/>
      <c r="C32" s="279" t="s">
        <v>23</v>
      </c>
      <c r="D32" s="278"/>
      <c r="E32" s="278"/>
      <c r="F32" s="280"/>
    </row>
    <row r="33" spans="1:6" ht="15" customHeight="1">
      <c r="A33" s="284" t="s">
        <v>512</v>
      </c>
      <c r="B33" s="285"/>
      <c r="C33" s="284" t="s">
        <v>25</v>
      </c>
      <c r="D33" s="285"/>
      <c r="E33" s="285"/>
      <c r="F33" s="286"/>
    </row>
    <row r="34" spans="1:6" ht="27" customHeight="1">
      <c r="A34" s="271" t="s">
        <v>26</v>
      </c>
      <c r="B34" s="272"/>
      <c r="C34" s="272"/>
      <c r="D34" s="272"/>
      <c r="E34" s="272"/>
      <c r="F34" s="273"/>
    </row>
    <row r="35" spans="1:6" ht="26.45" customHeight="1">
      <c r="A35" s="274" t="s">
        <v>27</v>
      </c>
      <c r="B35" s="275"/>
      <c r="C35" s="275"/>
      <c r="D35" s="275"/>
      <c r="E35" s="275"/>
      <c r="F35" s="276"/>
    </row>
  </sheetData>
  <mergeCells count="20">
    <mergeCell ref="A25:E25"/>
    <mergeCell ref="B1:F1"/>
    <mergeCell ref="A2:F2"/>
    <mergeCell ref="C3:F3"/>
    <mergeCell ref="C4:F4"/>
    <mergeCell ref="C5:F5"/>
    <mergeCell ref="A26:E26"/>
    <mergeCell ref="A27:E27"/>
    <mergeCell ref="A28:E28"/>
    <mergeCell ref="A29:F29"/>
    <mergeCell ref="A30:B30"/>
    <mergeCell ref="C30:F30"/>
    <mergeCell ref="A34:F34"/>
    <mergeCell ref="A35:F35"/>
    <mergeCell ref="A31:B31"/>
    <mergeCell ref="C31:F31"/>
    <mergeCell ref="A32:B32"/>
    <mergeCell ref="C32:F32"/>
    <mergeCell ref="A33:B33"/>
    <mergeCell ref="C33:F33"/>
  </mergeCells>
  <pageMargins left="0.7" right="0.7" top="0.75" bottom="0.75" header="0.3" footer="0.3"/>
  <pageSetup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8"/>
  <sheetViews>
    <sheetView topLeftCell="A10" workbookViewId="0">
      <selection activeCell="I5" sqref="I5"/>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490</v>
      </c>
      <c r="C3" s="254" t="s">
        <v>487</v>
      </c>
      <c r="D3" s="255"/>
      <c r="E3" s="255"/>
      <c r="F3" s="256"/>
    </row>
    <row r="4" spans="1:6" ht="29.25" customHeight="1">
      <c r="A4" s="6"/>
      <c r="B4" s="7" t="s">
        <v>491</v>
      </c>
      <c r="C4" s="254" t="s">
        <v>486</v>
      </c>
      <c r="D4" s="255"/>
      <c r="E4" s="255"/>
      <c r="F4" s="256"/>
    </row>
    <row r="5" spans="1:6" ht="16.5" customHeight="1">
      <c r="A5" s="8"/>
      <c r="B5" s="2" t="s">
        <v>492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74">
        <v>1</v>
      </c>
      <c r="B8" s="86" t="s">
        <v>495</v>
      </c>
      <c r="C8" s="68">
        <v>1</v>
      </c>
      <c r="D8" s="68" t="s">
        <v>60</v>
      </c>
      <c r="E8" s="69">
        <v>10500</v>
      </c>
      <c r="F8" s="69">
        <f>C8*E8</f>
        <v>10500</v>
      </c>
    </row>
    <row r="9" spans="1:6" ht="15.95" customHeight="1">
      <c r="A9" s="6"/>
      <c r="B9" s="85" t="s">
        <v>493</v>
      </c>
      <c r="C9" s="68"/>
      <c r="D9" s="68"/>
      <c r="E9" s="69"/>
      <c r="F9" s="69"/>
    </row>
    <row r="10" spans="1:6" ht="15.95" customHeight="1">
      <c r="A10" s="6"/>
      <c r="B10" s="86"/>
      <c r="C10" s="68"/>
      <c r="D10" s="68"/>
      <c r="E10" s="69"/>
      <c r="F10" s="69"/>
    </row>
    <row r="11" spans="1:6" ht="17.45" customHeight="1">
      <c r="A11" s="6"/>
      <c r="B11" s="86"/>
      <c r="C11" s="68"/>
      <c r="D11" s="68"/>
      <c r="E11" s="69"/>
      <c r="F11" s="69"/>
    </row>
    <row r="12" spans="1:6" ht="15.95" customHeight="1">
      <c r="A12" s="6"/>
      <c r="B12" s="101"/>
      <c r="C12" s="68"/>
      <c r="D12" s="68"/>
      <c r="E12" s="69"/>
      <c r="F12" s="69"/>
    </row>
    <row r="13" spans="1:6" ht="15.95" customHeight="1">
      <c r="A13" s="6"/>
      <c r="B13" s="102"/>
      <c r="C13" s="68"/>
      <c r="D13" s="68"/>
      <c r="E13" s="69"/>
      <c r="F13" s="69"/>
    </row>
    <row r="14" spans="1:6" ht="15.95" customHeight="1">
      <c r="A14" s="6"/>
      <c r="B14" s="100"/>
      <c r="C14" s="68"/>
      <c r="D14" s="68"/>
      <c r="E14" s="69"/>
      <c r="F14" s="69"/>
    </row>
    <row r="15" spans="1:6" ht="15.95" customHeight="1">
      <c r="A15" s="6"/>
      <c r="B15" s="85"/>
      <c r="C15" s="68"/>
      <c r="D15" s="68"/>
      <c r="E15" s="69"/>
      <c r="F15" s="69"/>
    </row>
    <row r="16" spans="1:6" ht="15.75">
      <c r="A16" s="6"/>
      <c r="B16" s="77"/>
      <c r="C16" s="68"/>
      <c r="D16" s="68"/>
      <c r="E16" s="69"/>
      <c r="F16" s="69"/>
    </row>
    <row r="17" spans="1:6" ht="15.75">
      <c r="A17" s="6"/>
      <c r="B17" s="60"/>
      <c r="C17" s="67"/>
      <c r="D17" s="67"/>
      <c r="E17" s="78"/>
      <c r="F17" s="69"/>
    </row>
    <row r="18" spans="1:6" ht="15.75">
      <c r="A18" s="79"/>
      <c r="B18" s="29"/>
      <c r="C18" s="80"/>
      <c r="D18" s="80"/>
      <c r="E18" s="81"/>
      <c r="F18" s="82"/>
    </row>
    <row r="19" spans="1:6" ht="15.75">
      <c r="A19" s="246" t="s">
        <v>14</v>
      </c>
      <c r="B19" s="247"/>
      <c r="C19" s="247"/>
      <c r="D19" s="247"/>
      <c r="E19" s="248"/>
      <c r="F19" s="83">
        <f>SUM(F8:F18)</f>
        <v>10500</v>
      </c>
    </row>
    <row r="20" spans="1:6" ht="15.75">
      <c r="A20" s="246" t="s">
        <v>488</v>
      </c>
      <c r="B20" s="247"/>
      <c r="C20" s="247"/>
      <c r="D20" s="247"/>
      <c r="E20" s="248"/>
      <c r="F20" s="83">
        <f>+F19*18%</f>
        <v>1890</v>
      </c>
    </row>
    <row r="21" spans="1:6" ht="17.45" customHeight="1">
      <c r="A21" s="260" t="s">
        <v>17</v>
      </c>
      <c r="B21" s="261"/>
      <c r="C21" s="261"/>
      <c r="D21" s="261"/>
      <c r="E21" s="262"/>
      <c r="F21" s="84">
        <f>SUM(F19:F20)</f>
        <v>12390</v>
      </c>
    </row>
    <row r="22" spans="1:6" ht="33" customHeight="1">
      <c r="A22" s="263" t="s">
        <v>489</v>
      </c>
      <c r="B22" s="264"/>
      <c r="C22" s="264"/>
      <c r="D22" s="264"/>
      <c r="E22" s="264"/>
      <c r="F22" s="265"/>
    </row>
    <row r="23" spans="1:6" ht="15" customHeight="1">
      <c r="A23" s="266" t="s">
        <v>18</v>
      </c>
      <c r="B23" s="267"/>
      <c r="C23" s="268" t="s">
        <v>19</v>
      </c>
      <c r="D23" s="269"/>
      <c r="E23" s="269"/>
      <c r="F23" s="270"/>
    </row>
    <row r="24" spans="1:6" ht="15" customHeight="1">
      <c r="A24" s="277" t="s">
        <v>359</v>
      </c>
      <c r="B24" s="278"/>
      <c r="C24" s="279" t="s">
        <v>21</v>
      </c>
      <c r="D24" s="278"/>
      <c r="E24" s="278"/>
      <c r="F24" s="280"/>
    </row>
    <row r="25" spans="1:6" ht="15" customHeight="1">
      <c r="A25" s="277" t="s">
        <v>22</v>
      </c>
      <c r="B25" s="278"/>
      <c r="C25" s="279" t="s">
        <v>23</v>
      </c>
      <c r="D25" s="278"/>
      <c r="E25" s="278"/>
      <c r="F25" s="280"/>
    </row>
    <row r="26" spans="1:6" ht="15" customHeight="1">
      <c r="A26" s="284" t="s">
        <v>494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19">
    <mergeCell ref="A19:E19"/>
    <mergeCell ref="B1:F1"/>
    <mergeCell ref="A2:F2"/>
    <mergeCell ref="C3:F3"/>
    <mergeCell ref="C4:F4"/>
    <mergeCell ref="C5:F5"/>
    <mergeCell ref="A20:E20"/>
    <mergeCell ref="A21:E21"/>
    <mergeCell ref="A22:F22"/>
    <mergeCell ref="A23:B23"/>
    <mergeCell ref="C23:F23"/>
    <mergeCell ref="A27:F27"/>
    <mergeCell ref="A28:F28"/>
    <mergeCell ref="A24:B24"/>
    <mergeCell ref="C24:F24"/>
    <mergeCell ref="A25:B25"/>
    <mergeCell ref="C25:F25"/>
    <mergeCell ref="A26:B26"/>
    <mergeCell ref="C26:F26"/>
  </mergeCells>
  <pageMargins left="0.7" right="0.7" top="0.75" bottom="0.75" header="0.3" footer="0.3"/>
  <pageSetup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7"/>
  <sheetViews>
    <sheetView workbookViewId="0">
      <selection activeCell="A37" sqref="A1:F37"/>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v>
      </c>
      <c r="C3" s="254" t="s">
        <v>475</v>
      </c>
      <c r="D3" s="255"/>
      <c r="E3" s="255"/>
      <c r="F3" s="256"/>
    </row>
    <row r="4" spans="1:6" ht="29.25" customHeight="1">
      <c r="A4" s="6"/>
      <c r="B4" s="7" t="s">
        <v>62</v>
      </c>
      <c r="C4" s="254" t="s">
        <v>453</v>
      </c>
      <c r="D4" s="255"/>
      <c r="E4" s="255"/>
      <c r="F4" s="256"/>
    </row>
    <row r="5" spans="1:6" ht="16.5" customHeight="1">
      <c r="A5" s="8"/>
      <c r="B5" s="2" t="s">
        <v>63</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74">
        <v>1</v>
      </c>
      <c r="B8" s="86" t="s">
        <v>476</v>
      </c>
      <c r="C8" s="68">
        <v>1</v>
      </c>
      <c r="D8" s="68" t="s">
        <v>60</v>
      </c>
      <c r="E8" s="69">
        <v>385000</v>
      </c>
      <c r="F8" s="69">
        <f>C8*E8</f>
        <v>385000</v>
      </c>
    </row>
    <row r="9" spans="1:6" ht="15.95" customHeight="1">
      <c r="A9" s="6"/>
      <c r="B9" s="85" t="s">
        <v>536</v>
      </c>
      <c r="C9" s="68"/>
      <c r="D9" s="68"/>
      <c r="E9" s="69"/>
      <c r="F9" s="69"/>
    </row>
    <row r="10" spans="1:6" ht="15.95" customHeight="1">
      <c r="A10" s="6"/>
      <c r="B10" s="86" t="s">
        <v>485</v>
      </c>
      <c r="C10" s="68"/>
      <c r="D10" s="68"/>
      <c r="E10" s="69"/>
      <c r="F10" s="69"/>
    </row>
    <row r="11" spans="1:6" ht="17.45" customHeight="1">
      <c r="A11" s="6"/>
      <c r="B11" s="86" t="s">
        <v>484</v>
      </c>
      <c r="C11" s="68"/>
      <c r="D11" s="68"/>
      <c r="E11" s="69"/>
      <c r="F11" s="69"/>
    </row>
    <row r="12" spans="1:6" ht="15.95" customHeight="1">
      <c r="A12" s="6"/>
      <c r="B12" s="101" t="s">
        <v>477</v>
      </c>
      <c r="C12" s="68"/>
      <c r="D12" s="68"/>
      <c r="E12" s="69"/>
      <c r="F12" s="69"/>
    </row>
    <row r="13" spans="1:6" ht="15.95" customHeight="1">
      <c r="A13" s="6"/>
      <c r="B13" s="102" t="s">
        <v>479</v>
      </c>
      <c r="C13" s="68"/>
      <c r="D13" s="68"/>
      <c r="E13" s="69"/>
      <c r="F13" s="69"/>
    </row>
    <row r="14" spans="1:6" ht="15.95" customHeight="1">
      <c r="A14" s="6"/>
      <c r="B14" s="102" t="s">
        <v>478</v>
      </c>
      <c r="C14" s="68"/>
      <c r="D14" s="68"/>
      <c r="E14" s="69"/>
      <c r="F14" s="69"/>
    </row>
    <row r="15" spans="1:6" ht="15.95" customHeight="1">
      <c r="A15" s="6"/>
      <c r="B15" s="85" t="s">
        <v>480</v>
      </c>
      <c r="C15" s="68"/>
      <c r="D15" s="68"/>
      <c r="E15" s="69"/>
      <c r="F15" s="69"/>
    </row>
    <row r="16" spans="1:6" ht="15.75">
      <c r="A16" s="6"/>
      <c r="B16" s="77" t="s">
        <v>481</v>
      </c>
      <c r="C16" s="68"/>
      <c r="D16" s="68"/>
      <c r="E16" s="69"/>
      <c r="F16" s="69"/>
    </row>
    <row r="17" spans="1:6" ht="31.5">
      <c r="A17" s="6"/>
      <c r="B17" s="103" t="s">
        <v>482</v>
      </c>
      <c r="C17" s="67"/>
      <c r="D17" s="67"/>
      <c r="E17" s="78"/>
      <c r="F17" s="69"/>
    </row>
    <row r="18" spans="1:6" ht="15.75">
      <c r="A18" s="6"/>
      <c r="B18" s="50" t="s">
        <v>483</v>
      </c>
      <c r="C18" s="67"/>
      <c r="D18" s="67"/>
      <c r="E18" s="78"/>
      <c r="F18" s="69"/>
    </row>
    <row r="19" spans="1:6" ht="15.75">
      <c r="A19" s="6"/>
      <c r="B19" s="30"/>
      <c r="C19" s="67"/>
      <c r="D19" s="67"/>
      <c r="E19" s="78"/>
      <c r="F19" s="69"/>
    </row>
    <row r="20" spans="1:6" ht="15.75">
      <c r="A20" s="6">
        <v>2</v>
      </c>
      <c r="B20" s="50" t="s">
        <v>540</v>
      </c>
      <c r="C20" s="67">
        <v>1</v>
      </c>
      <c r="D20" s="67" t="s">
        <v>154</v>
      </c>
      <c r="E20" s="78">
        <v>98000</v>
      </c>
      <c r="F20" s="69">
        <f>C20*E20</f>
        <v>98000</v>
      </c>
    </row>
    <row r="21" spans="1:6" ht="15.75">
      <c r="A21" s="6"/>
      <c r="B21" s="50" t="s">
        <v>537</v>
      </c>
      <c r="C21" s="67"/>
      <c r="D21" s="67"/>
      <c r="E21" s="78"/>
      <c r="F21" s="69"/>
    </row>
    <row r="22" spans="1:6" ht="15.75">
      <c r="A22" s="6"/>
      <c r="B22" s="108" t="s">
        <v>54</v>
      </c>
      <c r="C22" s="67"/>
      <c r="D22" s="67"/>
      <c r="E22" s="78"/>
      <c r="F22" s="69"/>
    </row>
    <row r="23" spans="1:6" ht="15.75">
      <c r="A23" s="6"/>
      <c r="B23" s="108" t="s">
        <v>51</v>
      </c>
      <c r="C23" s="67"/>
      <c r="D23" s="67"/>
      <c r="E23" s="78"/>
      <c r="F23" s="69"/>
    </row>
    <row r="24" spans="1:6" ht="15.75">
      <c r="A24" s="6"/>
      <c r="B24" s="108" t="s">
        <v>52</v>
      </c>
      <c r="C24" s="67"/>
      <c r="D24" s="67"/>
      <c r="E24" s="78"/>
      <c r="F24" s="69"/>
    </row>
    <row r="25" spans="1:6" ht="15.75">
      <c r="A25" s="6"/>
      <c r="B25" s="109" t="s">
        <v>538</v>
      </c>
      <c r="C25" s="67"/>
      <c r="D25" s="67"/>
      <c r="E25" s="78"/>
      <c r="F25" s="69"/>
    </row>
    <row r="26" spans="1:6" ht="15.75">
      <c r="A26" s="79"/>
      <c r="B26" s="110" t="s">
        <v>539</v>
      </c>
      <c r="C26" s="80"/>
      <c r="D26" s="80"/>
      <c r="E26" s="81"/>
      <c r="F26" s="82"/>
    </row>
    <row r="27" spans="1:6" ht="15.75">
      <c r="A27" s="246" t="s">
        <v>14</v>
      </c>
      <c r="B27" s="247"/>
      <c r="C27" s="247"/>
      <c r="D27" s="247"/>
      <c r="E27" s="248"/>
      <c r="F27" s="83">
        <f>SUM(F8:F26)</f>
        <v>483000</v>
      </c>
    </row>
    <row r="28" spans="1:6" ht="15.75">
      <c r="A28" s="246" t="s">
        <v>15</v>
      </c>
      <c r="B28" s="247"/>
      <c r="C28" s="247"/>
      <c r="D28" s="247"/>
      <c r="E28" s="248"/>
      <c r="F28" s="83">
        <f>+F27*9%</f>
        <v>43470</v>
      </c>
    </row>
    <row r="29" spans="1:6" ht="15.75">
      <c r="A29" s="246" t="s">
        <v>16</v>
      </c>
      <c r="B29" s="247"/>
      <c r="C29" s="247"/>
      <c r="D29" s="247"/>
      <c r="E29" s="248"/>
      <c r="F29" s="83">
        <f>+F27*9%</f>
        <v>43470</v>
      </c>
    </row>
    <row r="30" spans="1:6" ht="17.45" customHeight="1">
      <c r="A30" s="260" t="s">
        <v>17</v>
      </c>
      <c r="B30" s="261"/>
      <c r="C30" s="261"/>
      <c r="D30" s="261"/>
      <c r="E30" s="262"/>
      <c r="F30" s="84">
        <f>SUM(F27:F29)</f>
        <v>569940</v>
      </c>
    </row>
    <row r="31" spans="1:6" ht="33" customHeight="1">
      <c r="A31" s="263" t="s">
        <v>541</v>
      </c>
      <c r="B31" s="264"/>
      <c r="C31" s="264"/>
      <c r="D31" s="264"/>
      <c r="E31" s="264"/>
      <c r="F31" s="265"/>
    </row>
    <row r="32" spans="1:6" ht="15" customHeight="1">
      <c r="A32" s="266" t="s">
        <v>18</v>
      </c>
      <c r="B32" s="267"/>
      <c r="C32" s="268" t="s">
        <v>19</v>
      </c>
      <c r="D32" s="269"/>
      <c r="E32" s="269"/>
      <c r="F32" s="270"/>
    </row>
    <row r="33" spans="1:6" ht="15" customHeight="1">
      <c r="A33" s="277" t="s">
        <v>20</v>
      </c>
      <c r="B33" s="278"/>
      <c r="C33" s="279" t="s">
        <v>21</v>
      </c>
      <c r="D33" s="278"/>
      <c r="E33" s="278"/>
      <c r="F33" s="280"/>
    </row>
    <row r="34" spans="1:6" ht="15" customHeight="1">
      <c r="A34" s="277" t="s">
        <v>22</v>
      </c>
      <c r="B34" s="278"/>
      <c r="C34" s="279" t="s">
        <v>23</v>
      </c>
      <c r="D34" s="278"/>
      <c r="E34" s="278"/>
      <c r="F34" s="280"/>
    </row>
    <row r="35" spans="1:6" ht="15" customHeight="1">
      <c r="A35" s="284" t="s">
        <v>24</v>
      </c>
      <c r="B35" s="285"/>
      <c r="C35" s="284" t="s">
        <v>25</v>
      </c>
      <c r="D35" s="285"/>
      <c r="E35" s="285"/>
      <c r="F35" s="286"/>
    </row>
    <row r="36" spans="1:6" ht="27" customHeight="1">
      <c r="A36" s="271" t="s">
        <v>26</v>
      </c>
      <c r="B36" s="272"/>
      <c r="C36" s="272"/>
      <c r="D36" s="272"/>
      <c r="E36" s="272"/>
      <c r="F36" s="273"/>
    </row>
    <row r="37" spans="1:6" ht="26.45" customHeight="1">
      <c r="A37" s="274" t="s">
        <v>27</v>
      </c>
      <c r="B37" s="275"/>
      <c r="C37" s="275"/>
      <c r="D37" s="275"/>
      <c r="E37" s="275"/>
      <c r="F37" s="276"/>
    </row>
  </sheetData>
  <mergeCells count="20">
    <mergeCell ref="A36:F36"/>
    <mergeCell ref="A37:F37"/>
    <mergeCell ref="A33:B33"/>
    <mergeCell ref="C33:F33"/>
    <mergeCell ref="A34:B34"/>
    <mergeCell ref="C34:F34"/>
    <mergeCell ref="A35:B35"/>
    <mergeCell ref="C35:F35"/>
    <mergeCell ref="A28:E28"/>
    <mergeCell ref="A29:E29"/>
    <mergeCell ref="A30:E30"/>
    <mergeCell ref="A31:F31"/>
    <mergeCell ref="A32:B32"/>
    <mergeCell ref="C32:F32"/>
    <mergeCell ref="A27:E27"/>
    <mergeCell ref="B1:F1"/>
    <mergeCell ref="A2:F2"/>
    <mergeCell ref="C3:F3"/>
    <mergeCell ref="C4:F4"/>
    <mergeCell ref="C5:F5"/>
  </mergeCells>
  <pageMargins left="0.7" right="0.7" top="0.75" bottom="0.75" header="0.3" footer="0.3"/>
  <pageSetup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9"/>
  <sheetViews>
    <sheetView workbookViewId="0">
      <selection activeCell="A29" sqref="A1:F29"/>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472</v>
      </c>
      <c r="D3" s="255"/>
      <c r="E3" s="255"/>
      <c r="F3" s="256"/>
    </row>
    <row r="4" spans="1:6" ht="29.25" customHeight="1">
      <c r="A4" s="6"/>
      <c r="B4" s="7" t="s">
        <v>8</v>
      </c>
      <c r="C4" s="254" t="s">
        <v>453</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74">
        <v>1</v>
      </c>
      <c r="B8" s="86" t="s">
        <v>468</v>
      </c>
      <c r="C8" s="68">
        <v>1</v>
      </c>
      <c r="D8" s="68" t="s">
        <v>60</v>
      </c>
      <c r="E8" s="69">
        <v>32500</v>
      </c>
      <c r="F8" s="69">
        <f>C8*E8</f>
        <v>32500</v>
      </c>
    </row>
    <row r="9" spans="1:6" ht="15.95" customHeight="1">
      <c r="A9" s="6"/>
      <c r="B9" s="85" t="s">
        <v>469</v>
      </c>
      <c r="C9" s="68"/>
      <c r="D9" s="68"/>
      <c r="E9" s="69"/>
      <c r="F9" s="69"/>
    </row>
    <row r="10" spans="1:6" ht="15.95" customHeight="1">
      <c r="A10" s="6"/>
      <c r="B10" s="86" t="s">
        <v>470</v>
      </c>
      <c r="C10" s="68"/>
      <c r="D10" s="68"/>
      <c r="E10" s="69"/>
      <c r="F10" s="69"/>
    </row>
    <row r="11" spans="1:6" ht="17.45" customHeight="1">
      <c r="A11" s="6"/>
      <c r="B11" s="86" t="s">
        <v>473</v>
      </c>
      <c r="C11" s="68"/>
      <c r="D11" s="68"/>
      <c r="E11" s="69"/>
      <c r="F11" s="69"/>
    </row>
    <row r="12" spans="1:6" ht="15.95" customHeight="1">
      <c r="A12" s="6"/>
      <c r="B12" s="101" t="s">
        <v>474</v>
      </c>
      <c r="C12" s="68"/>
      <c r="D12" s="68"/>
      <c r="E12" s="69"/>
      <c r="F12" s="69"/>
    </row>
    <row r="13" spans="1:6" ht="15.95" customHeight="1">
      <c r="A13" s="6"/>
      <c r="B13" s="102"/>
      <c r="C13" s="68"/>
      <c r="D13" s="68"/>
      <c r="E13" s="69"/>
      <c r="F13" s="69"/>
    </row>
    <row r="14" spans="1:6" ht="15.95" customHeight="1">
      <c r="A14" s="6"/>
      <c r="B14" s="100"/>
      <c r="C14" s="68"/>
      <c r="D14" s="68"/>
      <c r="E14" s="69"/>
      <c r="F14" s="69"/>
    </row>
    <row r="15" spans="1:6" ht="15.95" customHeight="1">
      <c r="A15" s="6"/>
      <c r="B15" s="85"/>
      <c r="C15" s="68"/>
      <c r="D15" s="68"/>
      <c r="E15" s="69"/>
      <c r="F15" s="69"/>
    </row>
    <row r="16" spans="1:6" ht="15.75">
      <c r="A16" s="6"/>
      <c r="B16" s="77"/>
      <c r="C16" s="68"/>
      <c r="D16" s="68"/>
      <c r="E16" s="69"/>
      <c r="F16" s="69"/>
    </row>
    <row r="17" spans="1:6" ht="15.75">
      <c r="A17" s="6"/>
      <c r="B17" s="60"/>
      <c r="C17" s="67"/>
      <c r="D17" s="67"/>
      <c r="E17" s="78"/>
      <c r="F17" s="69"/>
    </row>
    <row r="18" spans="1:6" ht="15.75">
      <c r="A18" s="79"/>
      <c r="B18" s="29"/>
      <c r="C18" s="80"/>
      <c r="D18" s="80"/>
      <c r="E18" s="81"/>
      <c r="F18" s="82"/>
    </row>
    <row r="19" spans="1:6" ht="15.75">
      <c r="A19" s="246" t="s">
        <v>14</v>
      </c>
      <c r="B19" s="247"/>
      <c r="C19" s="247"/>
      <c r="D19" s="247"/>
      <c r="E19" s="248"/>
      <c r="F19" s="83">
        <f>SUM(F8:F18)</f>
        <v>32500</v>
      </c>
    </row>
    <row r="20" spans="1:6" ht="15.75">
      <c r="A20" s="246" t="s">
        <v>15</v>
      </c>
      <c r="B20" s="247"/>
      <c r="C20" s="247"/>
      <c r="D20" s="247"/>
      <c r="E20" s="248"/>
      <c r="F20" s="83">
        <f>+F19*9%</f>
        <v>2925</v>
      </c>
    </row>
    <row r="21" spans="1:6" ht="15.75">
      <c r="A21" s="246" t="s">
        <v>16</v>
      </c>
      <c r="B21" s="247"/>
      <c r="C21" s="247"/>
      <c r="D21" s="247"/>
      <c r="E21" s="248"/>
      <c r="F21" s="83">
        <f>+F19*9%</f>
        <v>2925</v>
      </c>
    </row>
    <row r="22" spans="1:6" ht="17.45" customHeight="1">
      <c r="A22" s="260" t="s">
        <v>17</v>
      </c>
      <c r="B22" s="261"/>
      <c r="C22" s="261"/>
      <c r="D22" s="261"/>
      <c r="E22" s="262"/>
      <c r="F22" s="84">
        <f>SUM(F19:F21)</f>
        <v>38350</v>
      </c>
    </row>
    <row r="23" spans="1:6" ht="33" customHeight="1">
      <c r="A23" s="263" t="s">
        <v>471</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19:E19"/>
    <mergeCell ref="B1:F1"/>
    <mergeCell ref="A2:F2"/>
    <mergeCell ref="C3:F3"/>
    <mergeCell ref="C4:F4"/>
    <mergeCell ref="C5:F5"/>
    <mergeCell ref="A20:E20"/>
    <mergeCell ref="A21:E21"/>
    <mergeCell ref="A22:E22"/>
    <mergeCell ref="A23:F23"/>
    <mergeCell ref="A24:B24"/>
    <mergeCell ref="C24:F24"/>
    <mergeCell ref="A28:F28"/>
    <mergeCell ref="A29:F29"/>
    <mergeCell ref="A25:B25"/>
    <mergeCell ref="C25:F25"/>
    <mergeCell ref="A26:B26"/>
    <mergeCell ref="C26:F26"/>
    <mergeCell ref="A27:B27"/>
    <mergeCell ref="C27:F27"/>
  </mergeCells>
  <pageMargins left="0.7" right="0.7" top="0.75" bottom="0.75" header="0.3" footer="0.3"/>
  <pageSetup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9"/>
  <sheetViews>
    <sheetView topLeftCell="A4" workbookViewId="0">
      <selection activeCell="K17" sqref="K17"/>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456</v>
      </c>
      <c r="D3" s="255"/>
      <c r="E3" s="255"/>
      <c r="F3" s="256"/>
    </row>
    <row r="4" spans="1:6" ht="29.25" customHeight="1">
      <c r="A4" s="6"/>
      <c r="B4" s="7" t="s">
        <v>8</v>
      </c>
      <c r="C4" s="254" t="s">
        <v>453</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74">
        <v>1</v>
      </c>
      <c r="B8" s="86" t="s">
        <v>457</v>
      </c>
      <c r="C8" s="68">
        <v>1</v>
      </c>
      <c r="D8" s="68" t="s">
        <v>60</v>
      </c>
      <c r="E8" s="69">
        <v>95500</v>
      </c>
      <c r="F8" s="69">
        <f>C8*E8</f>
        <v>95500</v>
      </c>
    </row>
    <row r="9" spans="1:6" ht="15.95" customHeight="1">
      <c r="A9" s="6"/>
      <c r="B9" s="85" t="s">
        <v>458</v>
      </c>
      <c r="C9" s="68"/>
      <c r="D9" s="68"/>
      <c r="E9" s="69"/>
      <c r="F9" s="69"/>
    </row>
    <row r="10" spans="1:6" ht="15.95" customHeight="1">
      <c r="A10" s="6"/>
      <c r="B10" s="86" t="s">
        <v>459</v>
      </c>
      <c r="C10" s="68"/>
      <c r="D10" s="68"/>
      <c r="E10" s="69"/>
      <c r="F10" s="69"/>
    </row>
    <row r="11" spans="1:6" ht="17.45" customHeight="1">
      <c r="A11" s="6"/>
      <c r="B11" s="86" t="s">
        <v>460</v>
      </c>
      <c r="C11" s="68"/>
      <c r="D11" s="68"/>
      <c r="E11" s="69"/>
      <c r="F11" s="69"/>
    </row>
    <row r="12" spans="1:6" ht="15.95" customHeight="1">
      <c r="A12" s="6"/>
      <c r="B12" s="101" t="s">
        <v>461</v>
      </c>
      <c r="C12" s="68"/>
      <c r="D12" s="68"/>
      <c r="E12" s="69"/>
      <c r="F12" s="69"/>
    </row>
    <row r="13" spans="1:6" ht="15.95" customHeight="1">
      <c r="A13" s="6"/>
      <c r="B13" s="102" t="s">
        <v>462</v>
      </c>
      <c r="C13" s="68"/>
      <c r="D13" s="68"/>
      <c r="E13" s="69"/>
      <c r="F13" s="69"/>
    </row>
    <row r="14" spans="1:6" ht="15.95" customHeight="1">
      <c r="A14" s="6"/>
      <c r="B14" s="100" t="s">
        <v>463</v>
      </c>
      <c r="C14" s="68"/>
      <c r="D14" s="68"/>
      <c r="E14" s="69"/>
      <c r="F14" s="69"/>
    </row>
    <row r="15" spans="1:6" ht="15.95" customHeight="1">
      <c r="A15" s="6"/>
      <c r="B15" s="85" t="s">
        <v>464</v>
      </c>
      <c r="C15" s="68"/>
      <c r="D15" s="68"/>
      <c r="E15" s="69"/>
      <c r="F15" s="69"/>
    </row>
    <row r="16" spans="1:6" ht="15.75">
      <c r="A16" s="6"/>
      <c r="B16" s="77" t="s">
        <v>465</v>
      </c>
      <c r="C16" s="68"/>
      <c r="D16" s="68"/>
      <c r="E16" s="69"/>
      <c r="F16" s="69"/>
    </row>
    <row r="17" spans="1:6" ht="15.75">
      <c r="A17" s="6"/>
      <c r="B17" s="60" t="s">
        <v>466</v>
      </c>
      <c r="C17" s="67"/>
      <c r="D17" s="67"/>
      <c r="E17" s="78"/>
      <c r="F17" s="69"/>
    </row>
    <row r="18" spans="1:6" ht="15.75">
      <c r="A18" s="79"/>
      <c r="B18" s="29"/>
      <c r="C18" s="80"/>
      <c r="D18" s="80"/>
      <c r="E18" s="81"/>
      <c r="F18" s="82"/>
    </row>
    <row r="19" spans="1:6" ht="15.75">
      <c r="A19" s="246" t="s">
        <v>14</v>
      </c>
      <c r="B19" s="247"/>
      <c r="C19" s="247"/>
      <c r="D19" s="247"/>
      <c r="E19" s="248"/>
      <c r="F19" s="83">
        <f>SUM(F8:F18)</f>
        <v>95500</v>
      </c>
    </row>
    <row r="20" spans="1:6" ht="15.75">
      <c r="A20" s="246" t="s">
        <v>15</v>
      </c>
      <c r="B20" s="247"/>
      <c r="C20" s="247"/>
      <c r="D20" s="247"/>
      <c r="E20" s="248"/>
      <c r="F20" s="83">
        <f>+F19*9%</f>
        <v>8595</v>
      </c>
    </row>
    <row r="21" spans="1:6" ht="15.75">
      <c r="A21" s="246" t="s">
        <v>16</v>
      </c>
      <c r="B21" s="247"/>
      <c r="C21" s="247"/>
      <c r="D21" s="247"/>
      <c r="E21" s="248"/>
      <c r="F21" s="83">
        <f>+F19*9%</f>
        <v>8595</v>
      </c>
    </row>
    <row r="22" spans="1:6" ht="17.45" customHeight="1">
      <c r="A22" s="260" t="s">
        <v>17</v>
      </c>
      <c r="B22" s="261"/>
      <c r="C22" s="261"/>
      <c r="D22" s="261"/>
      <c r="E22" s="262"/>
      <c r="F22" s="84">
        <f>SUM(F19:F21)</f>
        <v>112690</v>
      </c>
    </row>
    <row r="23" spans="1:6" ht="33" customHeight="1">
      <c r="A23" s="263" t="s">
        <v>467</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28:F28"/>
    <mergeCell ref="A29:F29"/>
    <mergeCell ref="A25:B25"/>
    <mergeCell ref="C25:F25"/>
    <mergeCell ref="A26:B26"/>
    <mergeCell ref="C26:F26"/>
    <mergeCell ref="A27:B27"/>
    <mergeCell ref="C27:F27"/>
    <mergeCell ref="A20:E20"/>
    <mergeCell ref="A21:E21"/>
    <mergeCell ref="A22:E22"/>
    <mergeCell ref="A23:F23"/>
    <mergeCell ref="A24:B24"/>
    <mergeCell ref="C24:F24"/>
    <mergeCell ref="A19:E19"/>
    <mergeCell ref="B1:F1"/>
    <mergeCell ref="A2:F2"/>
    <mergeCell ref="C3:F3"/>
    <mergeCell ref="C4:F4"/>
    <mergeCell ref="C5:F5"/>
  </mergeCells>
  <pageMargins left="0.7" right="0.7" top="0.75" bottom="0.75" header="0.3" footer="0.3"/>
  <pageSetup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9"/>
  <sheetViews>
    <sheetView topLeftCell="A4" workbookViewId="0">
      <selection activeCell="L19" sqref="L19"/>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450</v>
      </c>
      <c r="D3" s="255"/>
      <c r="E3" s="255"/>
      <c r="F3" s="256"/>
    </row>
    <row r="4" spans="1:6" ht="29.25" customHeight="1">
      <c r="A4" s="6"/>
      <c r="B4" s="7" t="s">
        <v>8</v>
      </c>
      <c r="C4" s="254" t="s">
        <v>453</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74">
        <v>1</v>
      </c>
      <c r="B8" s="86" t="s">
        <v>455</v>
      </c>
      <c r="C8" s="75"/>
      <c r="D8" s="75"/>
      <c r="E8" s="74"/>
      <c r="F8" s="74"/>
    </row>
    <row r="9" spans="1:6" ht="15.95" customHeight="1">
      <c r="A9" s="6"/>
      <c r="B9" s="85" t="s">
        <v>375</v>
      </c>
      <c r="C9" s="68">
        <v>1</v>
      </c>
      <c r="D9" s="68" t="s">
        <v>60</v>
      </c>
      <c r="E9" s="69">
        <v>127750</v>
      </c>
      <c r="F9" s="69">
        <f>C9*E9</f>
        <v>127750</v>
      </c>
    </row>
    <row r="10" spans="1:6" ht="15.95" customHeight="1">
      <c r="A10" s="6"/>
      <c r="B10" s="86" t="s">
        <v>376</v>
      </c>
      <c r="C10" s="68"/>
      <c r="D10" s="68"/>
      <c r="E10" s="69"/>
      <c r="F10" s="69"/>
    </row>
    <row r="11" spans="1:6" ht="30.2" customHeight="1">
      <c r="A11" s="6"/>
      <c r="B11" s="86" t="s">
        <v>377</v>
      </c>
      <c r="C11" s="68"/>
      <c r="D11" s="68"/>
      <c r="E11" s="69"/>
      <c r="F11" s="69"/>
    </row>
    <row r="12" spans="1:6" ht="15.95" customHeight="1">
      <c r="A12" s="6"/>
      <c r="B12" s="101" t="s">
        <v>451</v>
      </c>
      <c r="C12" s="68"/>
      <c r="D12" s="68"/>
      <c r="E12" s="69"/>
      <c r="F12" s="69"/>
    </row>
    <row r="13" spans="1:6" ht="15.95" customHeight="1">
      <c r="A13" s="6"/>
      <c r="B13" s="102" t="s">
        <v>452</v>
      </c>
      <c r="C13" s="68"/>
      <c r="D13" s="68"/>
      <c r="E13" s="69"/>
      <c r="F13" s="69"/>
    </row>
    <row r="14" spans="1:6" ht="15.95" customHeight="1">
      <c r="A14" s="6"/>
      <c r="B14" s="100"/>
      <c r="C14" s="68"/>
      <c r="D14" s="68"/>
      <c r="E14" s="69"/>
      <c r="F14" s="69"/>
    </row>
    <row r="15" spans="1:6" ht="15.95" customHeight="1">
      <c r="A15" s="6"/>
      <c r="B15" s="85"/>
      <c r="C15" s="68"/>
      <c r="D15" s="68"/>
      <c r="E15" s="69"/>
      <c r="F15" s="69"/>
    </row>
    <row r="16" spans="1:6" ht="15.75">
      <c r="A16" s="6"/>
      <c r="B16" s="77"/>
      <c r="C16" s="68"/>
      <c r="D16" s="68"/>
      <c r="E16" s="69"/>
      <c r="F16" s="69"/>
    </row>
    <row r="17" spans="1:6" ht="15.75">
      <c r="A17" s="6"/>
      <c r="B17" s="60"/>
      <c r="C17" s="67"/>
      <c r="D17" s="67"/>
      <c r="E17" s="78"/>
      <c r="F17" s="69"/>
    </row>
    <row r="18" spans="1:6" ht="15.75">
      <c r="A18" s="79"/>
      <c r="B18" s="29"/>
      <c r="C18" s="80"/>
      <c r="D18" s="80"/>
      <c r="E18" s="81"/>
      <c r="F18" s="82"/>
    </row>
    <row r="19" spans="1:6" ht="15.75">
      <c r="A19" s="246" t="s">
        <v>14</v>
      </c>
      <c r="B19" s="247"/>
      <c r="C19" s="247"/>
      <c r="D19" s="247"/>
      <c r="E19" s="248"/>
      <c r="F19" s="83">
        <f>SUM(F9:F18)</f>
        <v>127750</v>
      </c>
    </row>
    <row r="20" spans="1:6" ht="15.75">
      <c r="A20" s="246" t="s">
        <v>15</v>
      </c>
      <c r="B20" s="247"/>
      <c r="C20" s="247"/>
      <c r="D20" s="247"/>
      <c r="E20" s="248"/>
      <c r="F20" s="83">
        <f>+F19*9%</f>
        <v>11497.5</v>
      </c>
    </row>
    <row r="21" spans="1:6" ht="15.75">
      <c r="A21" s="246" t="s">
        <v>16</v>
      </c>
      <c r="B21" s="247"/>
      <c r="C21" s="247"/>
      <c r="D21" s="247"/>
      <c r="E21" s="248"/>
      <c r="F21" s="83">
        <f>+F19*9%</f>
        <v>11497.5</v>
      </c>
    </row>
    <row r="22" spans="1:6" ht="17.45" customHeight="1">
      <c r="A22" s="260" t="s">
        <v>17</v>
      </c>
      <c r="B22" s="261"/>
      <c r="C22" s="261"/>
      <c r="D22" s="261"/>
      <c r="E22" s="262"/>
      <c r="F22" s="84">
        <f>SUM(F19:F21)</f>
        <v>150745</v>
      </c>
    </row>
    <row r="23" spans="1:6" ht="33" customHeight="1">
      <c r="A23" s="263" t="s">
        <v>454</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28:F28"/>
    <mergeCell ref="A29:F29"/>
    <mergeCell ref="A25:B25"/>
    <mergeCell ref="C25:F25"/>
    <mergeCell ref="A26:B26"/>
    <mergeCell ref="C26:F26"/>
    <mergeCell ref="A27:B27"/>
    <mergeCell ref="C27:F27"/>
    <mergeCell ref="A20:E20"/>
    <mergeCell ref="A21:E21"/>
    <mergeCell ref="A22:E22"/>
    <mergeCell ref="A23:F23"/>
    <mergeCell ref="A24:B24"/>
    <mergeCell ref="C24:F24"/>
    <mergeCell ref="A19:E19"/>
    <mergeCell ref="B1:F1"/>
    <mergeCell ref="A2:F2"/>
    <mergeCell ref="C3:F3"/>
    <mergeCell ref="C4:F4"/>
    <mergeCell ref="C5:F5"/>
  </mergeCells>
  <pageMargins left="0.7" right="0.7" top="0.75" bottom="0.75" header="0.3" footer="0.3"/>
  <pageSetup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0"/>
  <sheetViews>
    <sheetView workbookViewId="0">
      <selection activeCell="I9" sqref="I9"/>
    </sheetView>
  </sheetViews>
  <sheetFormatPr defaultRowHeight="15"/>
  <cols>
    <col min="1" max="1" width="5.5703125" customWidth="1"/>
    <col min="2" max="2" width="51.5703125" customWidth="1"/>
    <col min="3" max="3" width="5.28515625" customWidth="1"/>
    <col min="4" max="4" width="6.14062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441</v>
      </c>
      <c r="C3" s="254" t="s">
        <v>440</v>
      </c>
      <c r="D3" s="255"/>
      <c r="E3" s="255"/>
      <c r="F3" s="256"/>
    </row>
    <row r="4" spans="1:6" ht="18" customHeight="1">
      <c r="A4" s="6"/>
      <c r="B4" s="7" t="s">
        <v>442</v>
      </c>
      <c r="C4" s="254" t="s">
        <v>419</v>
      </c>
      <c r="D4" s="255"/>
      <c r="E4" s="255"/>
      <c r="F4" s="256"/>
    </row>
    <row r="5" spans="1:6" ht="27" customHeight="1">
      <c r="A5" s="8"/>
      <c r="B5" s="98" t="s">
        <v>443</v>
      </c>
      <c r="C5" s="257" t="s">
        <v>9</v>
      </c>
      <c r="D5" s="258"/>
      <c r="E5" s="258"/>
      <c r="F5" s="259"/>
    </row>
    <row r="6" spans="1:6" ht="16.5">
      <c r="A6" s="9" t="s">
        <v>3</v>
      </c>
      <c r="B6" s="9" t="s">
        <v>4</v>
      </c>
      <c r="C6" s="9" t="s">
        <v>5</v>
      </c>
      <c r="D6" s="9" t="s">
        <v>10</v>
      </c>
      <c r="E6" s="9" t="s">
        <v>449</v>
      </c>
      <c r="F6" s="9" t="s">
        <v>12</v>
      </c>
    </row>
    <row r="7" spans="1:6" ht="16.5">
      <c r="A7" s="74"/>
      <c r="B7" s="74"/>
      <c r="C7" s="75"/>
      <c r="D7" s="75"/>
      <c r="E7" s="74"/>
      <c r="F7" s="74"/>
    </row>
    <row r="8" spans="1:6" ht="16.5">
      <c r="A8" s="52">
        <v>1</v>
      </c>
      <c r="B8" s="99" t="s">
        <v>444</v>
      </c>
      <c r="C8" s="3">
        <v>15</v>
      </c>
      <c r="D8" s="3" t="s">
        <v>13</v>
      </c>
      <c r="E8" s="69">
        <v>2950</v>
      </c>
      <c r="F8" s="69">
        <f>C8*E8</f>
        <v>44250</v>
      </c>
    </row>
    <row r="9" spans="1:6" ht="15.95" customHeight="1">
      <c r="A9" s="6">
        <v>2</v>
      </c>
      <c r="B9" s="99" t="s">
        <v>445</v>
      </c>
      <c r="C9" s="68">
        <v>20</v>
      </c>
      <c r="D9" s="68" t="s">
        <v>13</v>
      </c>
      <c r="E9" s="69">
        <v>950</v>
      </c>
      <c r="F9" s="69">
        <f>C9*E9</f>
        <v>19000</v>
      </c>
    </row>
    <row r="10" spans="1:6" ht="15.95" customHeight="1">
      <c r="A10" s="6"/>
      <c r="B10" s="86"/>
      <c r="C10" s="68"/>
      <c r="D10" s="68"/>
      <c r="E10" s="69"/>
      <c r="F10" s="69"/>
    </row>
    <row r="11" spans="1:6" ht="30.2" customHeight="1">
      <c r="A11" s="6"/>
      <c r="B11" s="86"/>
      <c r="C11" s="68"/>
      <c r="D11" s="68"/>
      <c r="E11" s="69"/>
      <c r="F11" s="69"/>
    </row>
    <row r="12" spans="1:6" ht="15.95" customHeight="1">
      <c r="A12" s="6"/>
      <c r="B12" s="86"/>
      <c r="C12" s="68"/>
      <c r="D12" s="68"/>
      <c r="E12" s="69"/>
      <c r="F12" s="69"/>
    </row>
    <row r="13" spans="1:6" ht="15.95" customHeight="1">
      <c r="A13" s="6"/>
      <c r="B13" s="86"/>
      <c r="C13" s="68"/>
      <c r="D13" s="68"/>
      <c r="E13" s="69"/>
      <c r="F13" s="69"/>
    </row>
    <row r="14" spans="1:6" ht="15.95" customHeight="1">
      <c r="A14" s="6"/>
      <c r="B14" s="86"/>
      <c r="C14" s="68"/>
      <c r="D14" s="68"/>
      <c r="E14" s="69"/>
      <c r="F14" s="69"/>
    </row>
    <row r="15" spans="1:6" ht="15.95" customHeight="1">
      <c r="A15" s="6"/>
      <c r="B15" s="86"/>
      <c r="C15" s="68"/>
      <c r="D15" s="68"/>
      <c r="E15" s="69"/>
      <c r="F15" s="69"/>
    </row>
    <row r="16" spans="1:6" ht="15.95" customHeight="1">
      <c r="A16" s="6"/>
      <c r="B16" s="85"/>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14</v>
      </c>
      <c r="B20" s="247"/>
      <c r="C20" s="247"/>
      <c r="D20" s="247"/>
      <c r="E20" s="248"/>
      <c r="F20" s="83">
        <f>SUM(F9:F19)</f>
        <v>19000</v>
      </c>
    </row>
    <row r="21" spans="1:6" ht="15.75">
      <c r="A21" s="246" t="s">
        <v>15</v>
      </c>
      <c r="B21" s="247"/>
      <c r="C21" s="247"/>
      <c r="D21" s="247"/>
      <c r="E21" s="248"/>
      <c r="F21" s="83">
        <f>+F20*9%</f>
        <v>1710</v>
      </c>
    </row>
    <row r="22" spans="1:6" ht="15.75">
      <c r="A22" s="246" t="s">
        <v>16</v>
      </c>
      <c r="B22" s="247"/>
      <c r="C22" s="247"/>
      <c r="D22" s="247"/>
      <c r="E22" s="248"/>
      <c r="F22" s="83">
        <f>+F20*9%</f>
        <v>1710</v>
      </c>
    </row>
    <row r="23" spans="1:6" ht="17.45" customHeight="1">
      <c r="A23" s="260" t="s">
        <v>17</v>
      </c>
      <c r="B23" s="261"/>
      <c r="C23" s="261"/>
      <c r="D23" s="261"/>
      <c r="E23" s="262"/>
      <c r="F23" s="84">
        <f>SUM(F20:F22)</f>
        <v>22420</v>
      </c>
    </row>
    <row r="24" spans="1:6" ht="33" customHeight="1">
      <c r="A24" s="263" t="s">
        <v>446</v>
      </c>
      <c r="B24" s="264"/>
      <c r="C24" s="264"/>
      <c r="D24" s="264"/>
      <c r="E24" s="264"/>
      <c r="F24" s="265"/>
    </row>
    <row r="25" spans="1:6" ht="15" customHeight="1">
      <c r="A25" s="266" t="s">
        <v>18</v>
      </c>
      <c r="B25" s="267"/>
      <c r="C25" s="268" t="s">
        <v>19</v>
      </c>
      <c r="D25" s="269"/>
      <c r="E25" s="269"/>
      <c r="F25" s="270"/>
    </row>
    <row r="26" spans="1:6" ht="15" customHeight="1">
      <c r="A26" s="279" t="s">
        <v>447</v>
      </c>
      <c r="B26" s="278"/>
      <c r="C26" s="279" t="s">
        <v>21</v>
      </c>
      <c r="D26" s="278"/>
      <c r="E26" s="278"/>
      <c r="F26" s="280"/>
    </row>
    <row r="27" spans="1:6" ht="15" customHeight="1">
      <c r="A27" s="279" t="s">
        <v>159</v>
      </c>
      <c r="B27" s="278"/>
      <c r="C27" s="279" t="s">
        <v>23</v>
      </c>
      <c r="D27" s="278"/>
      <c r="E27" s="278"/>
      <c r="F27" s="280"/>
    </row>
    <row r="28" spans="1:6" ht="15" customHeight="1">
      <c r="A28" s="284" t="s">
        <v>448</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0:E20"/>
    <mergeCell ref="B1:F1"/>
    <mergeCell ref="A2:F2"/>
    <mergeCell ref="C3:F3"/>
    <mergeCell ref="C4:F4"/>
    <mergeCell ref="C5:F5"/>
    <mergeCell ref="A21:E21"/>
    <mergeCell ref="A22:E22"/>
    <mergeCell ref="A23:E23"/>
    <mergeCell ref="A24:F24"/>
    <mergeCell ref="A25:B25"/>
    <mergeCell ref="C25:F25"/>
    <mergeCell ref="A29:F29"/>
    <mergeCell ref="A30:F30"/>
    <mergeCell ref="A26:B26"/>
    <mergeCell ref="C26:F26"/>
    <mergeCell ref="A27:B27"/>
    <mergeCell ref="C27:F27"/>
    <mergeCell ref="A28:B28"/>
    <mergeCell ref="C28:F28"/>
  </mergeCells>
  <pageMargins left="0.7" right="0.7" top="0.75" bottom="0.75" header="0.3" footer="0.3"/>
  <pageSetup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6"/>
  <sheetViews>
    <sheetView workbookViewId="0">
      <selection activeCell="E8" sqref="E8"/>
    </sheetView>
  </sheetViews>
  <sheetFormatPr defaultRowHeight="15"/>
  <cols>
    <col min="1" max="1" width="5.5703125" customWidth="1"/>
    <col min="2" max="2" width="49.28515625" customWidth="1"/>
    <col min="3" max="3" width="6.5703125" customWidth="1"/>
    <col min="4" max="4" width="6.85546875" customWidth="1"/>
    <col min="5" max="5" width="10.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439</v>
      </c>
      <c r="D3" s="255"/>
      <c r="E3" s="255"/>
      <c r="F3" s="256"/>
    </row>
    <row r="4" spans="1:6" ht="29.25" customHeight="1">
      <c r="A4" s="6"/>
      <c r="B4" s="7" t="s">
        <v>8</v>
      </c>
      <c r="C4" s="254" t="s">
        <v>419</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15" t="s">
        <v>437</v>
      </c>
      <c r="C8" s="68">
        <v>1</v>
      </c>
      <c r="D8" s="68" t="s">
        <v>60</v>
      </c>
      <c r="E8" s="69">
        <v>250000</v>
      </c>
      <c r="F8" s="69">
        <f>C8*E8</f>
        <v>250000</v>
      </c>
    </row>
    <row r="9" spans="1:6" ht="103.7" customHeight="1">
      <c r="A9" s="6"/>
      <c r="B9" s="62" t="s">
        <v>436</v>
      </c>
      <c r="C9" s="68"/>
      <c r="D9" s="68"/>
      <c r="E9" s="69"/>
      <c r="F9" s="69"/>
    </row>
    <row r="10" spans="1:6" ht="15.75">
      <c r="A10" s="6"/>
      <c r="B10" s="95" t="s">
        <v>435</v>
      </c>
      <c r="C10" s="68"/>
      <c r="D10" s="68"/>
      <c r="E10" s="69"/>
      <c r="F10" s="69"/>
    </row>
    <row r="11" spans="1:6" ht="15.75">
      <c r="A11" s="6"/>
      <c r="B11" s="15" t="s">
        <v>421</v>
      </c>
      <c r="C11" s="68"/>
      <c r="D11" s="68"/>
      <c r="E11" s="69"/>
      <c r="F11" s="69"/>
    </row>
    <row r="12" spans="1:6" ht="15.75">
      <c r="A12" s="6"/>
      <c r="B12" s="15" t="s">
        <v>422</v>
      </c>
      <c r="C12" s="68"/>
      <c r="D12" s="68"/>
      <c r="E12" s="69"/>
      <c r="F12" s="69"/>
    </row>
    <row r="13" spans="1:6" ht="15.75">
      <c r="A13" s="6"/>
      <c r="B13" s="15" t="s">
        <v>423</v>
      </c>
      <c r="C13" s="68"/>
      <c r="D13" s="68"/>
      <c r="E13" s="69"/>
      <c r="F13" s="69"/>
    </row>
    <row r="14" spans="1:6" ht="15.75">
      <c r="A14" s="6"/>
      <c r="B14" s="15" t="s">
        <v>424</v>
      </c>
      <c r="C14" s="68"/>
      <c r="D14" s="68"/>
      <c r="E14" s="69"/>
      <c r="F14" s="69"/>
    </row>
    <row r="15" spans="1:6" ht="29.25">
      <c r="A15" s="6"/>
      <c r="B15" s="62" t="s">
        <v>425</v>
      </c>
      <c r="C15" s="68"/>
      <c r="D15" s="68"/>
      <c r="E15" s="69"/>
      <c r="F15" s="69"/>
    </row>
    <row r="16" spans="1:6" ht="29.25">
      <c r="A16" s="6"/>
      <c r="B16" s="62" t="s">
        <v>426</v>
      </c>
      <c r="C16" s="68"/>
      <c r="D16" s="68"/>
      <c r="E16" s="69"/>
      <c r="F16" s="69"/>
    </row>
    <row r="17" spans="1:6" ht="15.75">
      <c r="A17" s="6"/>
      <c r="B17" s="15" t="s">
        <v>427</v>
      </c>
      <c r="C17" s="68"/>
      <c r="D17" s="68"/>
      <c r="E17" s="69"/>
      <c r="F17" s="69"/>
    </row>
    <row r="18" spans="1:6" ht="15.75">
      <c r="A18" s="6"/>
      <c r="B18" s="15" t="s">
        <v>428</v>
      </c>
      <c r="C18" s="68"/>
      <c r="D18" s="68"/>
      <c r="E18" s="69"/>
      <c r="F18" s="69"/>
    </row>
    <row r="19" spans="1:6" ht="15.75">
      <c r="A19" s="6"/>
      <c r="B19" s="15" t="s">
        <v>429</v>
      </c>
      <c r="C19" s="68"/>
      <c r="D19" s="68"/>
      <c r="E19" s="69"/>
      <c r="F19" s="69"/>
    </row>
    <row r="20" spans="1:6" ht="15.75">
      <c r="A20" s="6"/>
      <c r="B20" s="15" t="s">
        <v>430</v>
      </c>
      <c r="C20" s="68"/>
      <c r="D20" s="68"/>
      <c r="E20" s="69"/>
      <c r="F20" s="69"/>
    </row>
    <row r="21" spans="1:6" ht="15.75">
      <c r="A21" s="6"/>
      <c r="B21" s="15" t="s">
        <v>431</v>
      </c>
      <c r="C21" s="68"/>
      <c r="D21" s="68"/>
      <c r="E21" s="69"/>
      <c r="F21" s="69"/>
    </row>
    <row r="22" spans="1:6" ht="21.2" customHeight="1">
      <c r="A22" s="6"/>
      <c r="B22" s="96" t="s">
        <v>432</v>
      </c>
      <c r="C22" s="68"/>
      <c r="D22" s="68"/>
      <c r="E22" s="69"/>
      <c r="F22" s="69"/>
    </row>
    <row r="23" spans="1:6" ht="80.45" customHeight="1">
      <c r="A23" s="6"/>
      <c r="B23" s="62" t="s">
        <v>434</v>
      </c>
      <c r="C23" s="68"/>
      <c r="D23" s="68"/>
      <c r="E23" s="69"/>
      <c r="F23" s="69"/>
    </row>
    <row r="24" spans="1:6" ht="15.75">
      <c r="A24" s="6"/>
      <c r="B24" s="15" t="s">
        <v>433</v>
      </c>
      <c r="C24" s="68"/>
      <c r="D24" s="68"/>
      <c r="E24" s="69"/>
      <c r="F24" s="69"/>
    </row>
    <row r="25" spans="1:6" ht="15.75">
      <c r="A25" s="79"/>
      <c r="B25" s="29"/>
      <c r="C25" s="80"/>
      <c r="D25" s="80"/>
      <c r="E25" s="81"/>
      <c r="F25" s="82"/>
    </row>
    <row r="26" spans="1:6" ht="15.75">
      <c r="A26" s="292" t="s">
        <v>14</v>
      </c>
      <c r="B26" s="293"/>
      <c r="C26" s="293"/>
      <c r="D26" s="293"/>
      <c r="E26" s="294"/>
      <c r="F26" s="97">
        <f>SUM(F8:F25)</f>
        <v>250000</v>
      </c>
    </row>
    <row r="27" spans="1:6" ht="15.75">
      <c r="A27" s="246" t="s">
        <v>15</v>
      </c>
      <c r="B27" s="247"/>
      <c r="C27" s="247"/>
      <c r="D27" s="247"/>
      <c r="E27" s="248"/>
      <c r="F27" s="83">
        <f>+F26*9%</f>
        <v>22500</v>
      </c>
    </row>
    <row r="28" spans="1:6" ht="15.75">
      <c r="A28" s="246" t="s">
        <v>16</v>
      </c>
      <c r="B28" s="247"/>
      <c r="C28" s="247"/>
      <c r="D28" s="247"/>
      <c r="E28" s="248"/>
      <c r="F28" s="83">
        <f>+F26*9%</f>
        <v>22500</v>
      </c>
    </row>
    <row r="29" spans="1:6" ht="17.45" customHeight="1">
      <c r="A29" s="260" t="s">
        <v>17</v>
      </c>
      <c r="B29" s="261"/>
      <c r="C29" s="261"/>
      <c r="D29" s="261"/>
      <c r="E29" s="262"/>
      <c r="F29" s="84">
        <f>SUM(F26:F28)</f>
        <v>295000</v>
      </c>
    </row>
    <row r="30" spans="1:6" ht="33" customHeight="1">
      <c r="A30" s="263" t="s">
        <v>438</v>
      </c>
      <c r="B30" s="264"/>
      <c r="C30" s="264"/>
      <c r="D30" s="264"/>
      <c r="E30" s="264"/>
      <c r="F30" s="265"/>
    </row>
    <row r="31" spans="1:6" ht="15" customHeight="1">
      <c r="A31" s="266" t="s">
        <v>18</v>
      </c>
      <c r="B31" s="267"/>
      <c r="C31" s="268" t="s">
        <v>19</v>
      </c>
      <c r="D31" s="269"/>
      <c r="E31" s="269"/>
      <c r="F31" s="270"/>
    </row>
    <row r="32" spans="1:6" ht="15" customHeight="1">
      <c r="A32" s="277" t="s">
        <v>359</v>
      </c>
      <c r="B32" s="278"/>
      <c r="C32" s="279" t="s">
        <v>21</v>
      </c>
      <c r="D32" s="278"/>
      <c r="E32" s="278"/>
      <c r="F32" s="280"/>
    </row>
    <row r="33" spans="1:6" ht="15" customHeight="1">
      <c r="A33" s="277" t="s">
        <v>22</v>
      </c>
      <c r="B33" s="278"/>
      <c r="C33" s="279" t="s">
        <v>23</v>
      </c>
      <c r="D33" s="278"/>
      <c r="E33" s="278"/>
      <c r="F33" s="280"/>
    </row>
    <row r="34" spans="1:6" ht="15" customHeight="1">
      <c r="A34" s="284" t="s">
        <v>24</v>
      </c>
      <c r="B34" s="285"/>
      <c r="C34" s="284" t="s">
        <v>25</v>
      </c>
      <c r="D34" s="285"/>
      <c r="E34" s="285"/>
      <c r="F34" s="286"/>
    </row>
    <row r="35" spans="1:6" ht="27" customHeight="1">
      <c r="A35" s="271" t="s">
        <v>26</v>
      </c>
      <c r="B35" s="272"/>
      <c r="C35" s="272"/>
      <c r="D35" s="272"/>
      <c r="E35" s="272"/>
      <c r="F35" s="273"/>
    </row>
    <row r="36" spans="1:6" ht="26.45" customHeight="1">
      <c r="A36" s="274" t="s">
        <v>27</v>
      </c>
      <c r="B36" s="275"/>
      <c r="C36" s="275"/>
      <c r="D36" s="275"/>
      <c r="E36" s="275"/>
      <c r="F36" s="276"/>
    </row>
  </sheetData>
  <mergeCells count="20">
    <mergeCell ref="A26:E26"/>
    <mergeCell ref="B1:F1"/>
    <mergeCell ref="A2:F2"/>
    <mergeCell ref="C3:F3"/>
    <mergeCell ref="C4:F4"/>
    <mergeCell ref="C5:F5"/>
    <mergeCell ref="A27:E27"/>
    <mergeCell ref="A28:E28"/>
    <mergeCell ref="A29:E29"/>
    <mergeCell ref="A30:F30"/>
    <mergeCell ref="A31:B31"/>
    <mergeCell ref="C31:F31"/>
    <mergeCell ref="A35:F35"/>
    <mergeCell ref="A36:F36"/>
    <mergeCell ref="A32:B32"/>
    <mergeCell ref="C32:F32"/>
    <mergeCell ref="A33:B33"/>
    <mergeCell ref="C33:F33"/>
    <mergeCell ref="A34:B34"/>
    <mergeCell ref="C34:F34"/>
  </mergeCells>
  <pageMargins left="0.7" right="0.7" top="0.75" bottom="0.75" header="0.3" footer="0.3"/>
  <pageSetup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0"/>
  <sheetViews>
    <sheetView workbookViewId="0">
      <selection activeCell="I5" sqref="I5"/>
    </sheetView>
  </sheetViews>
  <sheetFormatPr defaultRowHeight="15"/>
  <cols>
    <col min="1" max="1" width="5.5703125" customWidth="1"/>
    <col min="2" max="2" width="50.14062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420</v>
      </c>
      <c r="D3" s="255"/>
      <c r="E3" s="255"/>
      <c r="F3" s="256"/>
    </row>
    <row r="4" spans="1:6" ht="29.25" customHeight="1">
      <c r="A4" s="6"/>
      <c r="B4" s="7" t="s">
        <v>8</v>
      </c>
      <c r="C4" s="254" t="s">
        <v>419</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15" t="s">
        <v>357</v>
      </c>
      <c r="C8" s="68">
        <v>2</v>
      </c>
      <c r="D8" s="68" t="s">
        <v>412</v>
      </c>
      <c r="E8" s="69">
        <v>7500</v>
      </c>
      <c r="F8" s="69">
        <f>C8*E8</f>
        <v>15000</v>
      </c>
    </row>
    <row r="9" spans="1:6" ht="15.75">
      <c r="A9" s="6"/>
      <c r="B9" s="15" t="s">
        <v>360</v>
      </c>
      <c r="C9" s="68"/>
      <c r="D9" s="68"/>
      <c r="E9" s="69"/>
      <c r="F9" s="69"/>
    </row>
    <row r="10" spans="1:6" ht="15.75">
      <c r="A10" s="6"/>
      <c r="B10" s="77"/>
      <c r="C10" s="68"/>
      <c r="D10" s="68"/>
      <c r="E10" s="69"/>
      <c r="F10" s="69"/>
    </row>
    <row r="11" spans="1:6" ht="15.75">
      <c r="A11" s="6"/>
      <c r="B11" s="15"/>
      <c r="C11" s="68"/>
      <c r="D11" s="68"/>
      <c r="E11" s="69"/>
      <c r="F11" s="69"/>
    </row>
    <row r="12" spans="1:6" ht="15.75">
      <c r="A12" s="6"/>
      <c r="B12" s="15"/>
      <c r="C12" s="68"/>
      <c r="D12" s="68"/>
      <c r="E12" s="69"/>
      <c r="F12" s="69"/>
    </row>
    <row r="13" spans="1:6" ht="15.75">
      <c r="A13" s="6"/>
      <c r="B13" s="15"/>
      <c r="C13" s="68"/>
      <c r="D13" s="68"/>
      <c r="E13" s="69"/>
      <c r="F13" s="69"/>
    </row>
    <row r="14" spans="1:6" ht="15.75">
      <c r="A14" s="6"/>
      <c r="B14" s="15"/>
      <c r="C14" s="68"/>
      <c r="D14" s="68"/>
      <c r="E14" s="69"/>
      <c r="F14" s="69"/>
    </row>
    <row r="15" spans="1:6" ht="15.75">
      <c r="A15" s="6"/>
      <c r="B15" s="77"/>
      <c r="C15" s="68"/>
      <c r="D15" s="68"/>
      <c r="E15" s="69"/>
      <c r="F15" s="69"/>
    </row>
    <row r="16" spans="1:6" ht="15.75">
      <c r="A16" s="6"/>
      <c r="B16" s="77"/>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14</v>
      </c>
      <c r="B20" s="247"/>
      <c r="C20" s="247"/>
      <c r="D20" s="247"/>
      <c r="E20" s="248"/>
      <c r="F20" s="83">
        <f>SUM(F8:F19)</f>
        <v>15000</v>
      </c>
    </row>
    <row r="21" spans="1:6" ht="15.75">
      <c r="A21" s="246" t="s">
        <v>15</v>
      </c>
      <c r="B21" s="247"/>
      <c r="C21" s="247"/>
      <c r="D21" s="247"/>
      <c r="E21" s="248"/>
      <c r="F21" s="83">
        <f>+F20*9%</f>
        <v>1350</v>
      </c>
    </row>
    <row r="22" spans="1:6" ht="15.75">
      <c r="A22" s="246" t="s">
        <v>16</v>
      </c>
      <c r="B22" s="247"/>
      <c r="C22" s="247"/>
      <c r="D22" s="247"/>
      <c r="E22" s="248"/>
      <c r="F22" s="83">
        <f>+F20*9%</f>
        <v>1350</v>
      </c>
    </row>
    <row r="23" spans="1:6" ht="17.45" customHeight="1">
      <c r="A23" s="260" t="s">
        <v>17</v>
      </c>
      <c r="B23" s="261"/>
      <c r="C23" s="261"/>
      <c r="D23" s="261"/>
      <c r="E23" s="262"/>
      <c r="F23" s="84">
        <f>SUM(F20:F22)</f>
        <v>17700</v>
      </c>
    </row>
    <row r="24" spans="1:6" ht="33" customHeight="1">
      <c r="A24" s="263" t="s">
        <v>418</v>
      </c>
      <c r="B24" s="264"/>
      <c r="C24" s="264"/>
      <c r="D24" s="264"/>
      <c r="E24" s="264"/>
      <c r="F24" s="265"/>
    </row>
    <row r="25" spans="1:6" ht="15" customHeight="1">
      <c r="A25" s="266" t="s">
        <v>18</v>
      </c>
      <c r="B25" s="267"/>
      <c r="C25" s="268" t="s">
        <v>19</v>
      </c>
      <c r="D25" s="269"/>
      <c r="E25" s="269"/>
      <c r="F25" s="270"/>
    </row>
    <row r="26" spans="1:6" ht="15" customHeight="1">
      <c r="A26" s="277" t="s">
        <v>359</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1:E21"/>
    <mergeCell ref="A22:E22"/>
    <mergeCell ref="A23:E23"/>
    <mergeCell ref="A24:F24"/>
    <mergeCell ref="A25:B25"/>
    <mergeCell ref="C25:F25"/>
    <mergeCell ref="A20:E20"/>
    <mergeCell ref="B1:F1"/>
    <mergeCell ref="A2:F2"/>
    <mergeCell ref="C3:F3"/>
    <mergeCell ref="C4:F4"/>
    <mergeCell ref="C5:F5"/>
  </mergeCells>
  <pageMargins left="0.7" right="0.7" top="0.75" bottom="0.75" header="0.3" footer="0.3"/>
  <pageSetup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8"/>
  <sheetViews>
    <sheetView topLeftCell="A4" workbookViewId="0">
      <selection activeCell="C8" sqref="C8:F11"/>
    </sheetView>
  </sheetViews>
  <sheetFormatPr defaultRowHeight="15"/>
  <cols>
    <col min="1" max="1" width="5.5703125" customWidth="1"/>
    <col min="2" max="2" width="50.710937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413</v>
      </c>
      <c r="D3" s="255"/>
      <c r="E3" s="255"/>
      <c r="F3" s="256"/>
    </row>
    <row r="4" spans="1:6" ht="29.25" customHeight="1">
      <c r="A4" s="6"/>
      <c r="B4" s="7" t="s">
        <v>8</v>
      </c>
      <c r="C4" s="254" t="s">
        <v>414</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87"/>
      <c r="C7" s="75"/>
      <c r="D7" s="75"/>
      <c r="E7" s="74"/>
      <c r="F7" s="74"/>
    </row>
    <row r="8" spans="1:6" ht="17.100000000000001" customHeight="1">
      <c r="A8" s="10">
        <v>1</v>
      </c>
      <c r="B8" s="88" t="s">
        <v>409</v>
      </c>
      <c r="C8" s="89">
        <v>2</v>
      </c>
      <c r="D8" s="89" t="s">
        <v>412</v>
      </c>
      <c r="E8" s="90">
        <v>6500</v>
      </c>
      <c r="F8" s="90">
        <f>C8*E8</f>
        <v>13000</v>
      </c>
    </row>
    <row r="9" spans="1:6" ht="17.100000000000001" customHeight="1">
      <c r="A9" s="10"/>
      <c r="B9" s="91" t="s">
        <v>416</v>
      </c>
      <c r="C9" s="89"/>
      <c r="D9" s="89"/>
      <c r="E9" s="90"/>
      <c r="F9" s="90"/>
    </row>
    <row r="10" spans="1:6" ht="17.100000000000001" customHeight="1">
      <c r="A10" s="10">
        <v>2</v>
      </c>
      <c r="B10" s="88" t="s">
        <v>417</v>
      </c>
      <c r="C10" s="89">
        <v>2</v>
      </c>
      <c r="D10" s="89" t="s">
        <v>412</v>
      </c>
      <c r="E10" s="90">
        <v>6500</v>
      </c>
      <c r="F10" s="90">
        <f>C10*E10</f>
        <v>13000</v>
      </c>
    </row>
    <row r="11" spans="1:6" ht="17.100000000000001" customHeight="1">
      <c r="A11" s="10">
        <v>3</v>
      </c>
      <c r="B11" s="88" t="s">
        <v>410</v>
      </c>
      <c r="C11" s="89">
        <v>3</v>
      </c>
      <c r="D11" s="89" t="s">
        <v>412</v>
      </c>
      <c r="E11" s="90">
        <v>6500</v>
      </c>
      <c r="F11" s="90">
        <f>C11*E11</f>
        <v>19500</v>
      </c>
    </row>
    <row r="12" spans="1:6" ht="17.100000000000001" customHeight="1">
      <c r="A12" s="10"/>
      <c r="B12" s="91" t="s">
        <v>411</v>
      </c>
      <c r="C12" s="89"/>
      <c r="D12" s="89"/>
      <c r="E12" s="90"/>
      <c r="F12" s="90"/>
    </row>
    <row r="13" spans="1:6" ht="17.100000000000001" customHeight="1">
      <c r="A13" s="10"/>
      <c r="B13" s="91"/>
      <c r="C13" s="89"/>
      <c r="D13" s="89"/>
      <c r="E13" s="90"/>
      <c r="F13" s="90"/>
    </row>
    <row r="14" spans="1:6" ht="17.100000000000001" customHeight="1">
      <c r="A14" s="10"/>
      <c r="B14" s="91"/>
      <c r="C14" s="89"/>
      <c r="D14" s="89"/>
      <c r="E14" s="90"/>
      <c r="F14" s="90"/>
    </row>
    <row r="15" spans="1:6" ht="17.100000000000001" customHeight="1">
      <c r="A15" s="10"/>
      <c r="B15" s="91"/>
      <c r="C15" s="89"/>
      <c r="D15" s="89"/>
      <c r="E15" s="90"/>
      <c r="F15" s="90"/>
    </row>
    <row r="16" spans="1:6" ht="17.100000000000001" customHeight="1">
      <c r="A16" s="10"/>
      <c r="B16" s="91"/>
      <c r="C16" s="89"/>
      <c r="D16" s="89"/>
      <c r="E16" s="90"/>
      <c r="F16" s="90"/>
    </row>
    <row r="17" spans="1:6" ht="17.100000000000001" customHeight="1">
      <c r="A17" s="21"/>
      <c r="B17" s="92"/>
      <c r="C17" s="93"/>
      <c r="D17" s="93"/>
      <c r="E17" s="94"/>
      <c r="F17" s="94"/>
    </row>
    <row r="18" spans="1:6" ht="15.75">
      <c r="A18" s="246" t="s">
        <v>14</v>
      </c>
      <c r="B18" s="247"/>
      <c r="C18" s="247"/>
      <c r="D18" s="247"/>
      <c r="E18" s="248"/>
      <c r="F18" s="83">
        <f>SUM(F8:F17)</f>
        <v>45500</v>
      </c>
    </row>
    <row r="19" spans="1:6" ht="15.75">
      <c r="A19" s="246" t="s">
        <v>15</v>
      </c>
      <c r="B19" s="247"/>
      <c r="C19" s="247"/>
      <c r="D19" s="247"/>
      <c r="E19" s="248"/>
      <c r="F19" s="83">
        <f>+F18*9%</f>
        <v>4095</v>
      </c>
    </row>
    <row r="20" spans="1:6" ht="15.75">
      <c r="A20" s="246" t="s">
        <v>16</v>
      </c>
      <c r="B20" s="247"/>
      <c r="C20" s="247"/>
      <c r="D20" s="247"/>
      <c r="E20" s="248"/>
      <c r="F20" s="83">
        <f>+F18*9%</f>
        <v>4095</v>
      </c>
    </row>
    <row r="21" spans="1:6" ht="17.45" customHeight="1">
      <c r="A21" s="260" t="s">
        <v>17</v>
      </c>
      <c r="B21" s="261"/>
      <c r="C21" s="261"/>
      <c r="D21" s="261"/>
      <c r="E21" s="262"/>
      <c r="F21" s="84">
        <f>SUM(F18:F20)</f>
        <v>53690</v>
      </c>
    </row>
    <row r="22" spans="1:6" ht="33" customHeight="1">
      <c r="A22" s="263" t="s">
        <v>415</v>
      </c>
      <c r="B22" s="264"/>
      <c r="C22" s="264"/>
      <c r="D22" s="264"/>
      <c r="E22" s="264"/>
      <c r="F22" s="265"/>
    </row>
    <row r="23" spans="1:6" ht="15" customHeight="1">
      <c r="A23" s="266" t="s">
        <v>18</v>
      </c>
      <c r="B23" s="267"/>
      <c r="C23" s="268" t="s">
        <v>19</v>
      </c>
      <c r="D23" s="269"/>
      <c r="E23" s="269"/>
      <c r="F23" s="270"/>
    </row>
    <row r="24" spans="1:6" ht="15" customHeight="1">
      <c r="A24" s="277" t="s">
        <v>359</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8"/>
  <sheetViews>
    <sheetView topLeftCell="A4" workbookViewId="0">
      <selection activeCell="J9" sqref="I9:J9"/>
    </sheetView>
  </sheetViews>
  <sheetFormatPr defaultRowHeight="15"/>
  <cols>
    <col min="1" max="1" width="5.5703125" customWidth="1"/>
    <col min="2" max="2" width="50.710937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402</v>
      </c>
      <c r="D3" s="255"/>
      <c r="E3" s="255"/>
      <c r="F3" s="256"/>
    </row>
    <row r="4" spans="1:6" ht="29.25" customHeight="1">
      <c r="A4" s="6"/>
      <c r="B4" s="7" t="s">
        <v>8</v>
      </c>
      <c r="C4" s="254" t="s">
        <v>403</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87"/>
      <c r="C7" s="75"/>
      <c r="D7" s="75"/>
      <c r="E7" s="74"/>
      <c r="F7" s="74"/>
    </row>
    <row r="8" spans="1:6" ht="17.100000000000001" customHeight="1">
      <c r="A8" s="10">
        <v>1</v>
      </c>
      <c r="B8" s="88" t="s">
        <v>404</v>
      </c>
      <c r="C8" s="89">
        <v>3</v>
      </c>
      <c r="D8" s="89" t="s">
        <v>13</v>
      </c>
      <c r="E8" s="90">
        <v>4500</v>
      </c>
      <c r="F8" s="90">
        <f>C8*E8</f>
        <v>13500</v>
      </c>
    </row>
    <row r="9" spans="1:6" ht="17.100000000000001" customHeight="1">
      <c r="A9" s="10"/>
      <c r="B9" s="91" t="s">
        <v>405</v>
      </c>
      <c r="C9" s="89"/>
      <c r="D9" s="89"/>
      <c r="E9" s="90"/>
      <c r="F9" s="90"/>
    </row>
    <row r="10" spans="1:6" ht="17.100000000000001" customHeight="1">
      <c r="A10" s="10">
        <v>2</v>
      </c>
      <c r="B10" s="88" t="s">
        <v>406</v>
      </c>
      <c r="C10" s="89">
        <v>1</v>
      </c>
      <c r="D10" s="89" t="s">
        <v>60</v>
      </c>
      <c r="E10" s="90">
        <v>3500</v>
      </c>
      <c r="F10" s="90">
        <f>C10*E10</f>
        <v>3500</v>
      </c>
    </row>
    <row r="11" spans="1:6" ht="17.100000000000001" customHeight="1">
      <c r="A11" s="10">
        <v>3</v>
      </c>
      <c r="B11" s="88" t="s">
        <v>407</v>
      </c>
      <c r="C11" s="89">
        <v>1</v>
      </c>
      <c r="D11" s="89" t="s">
        <v>60</v>
      </c>
      <c r="E11" s="90">
        <v>3500</v>
      </c>
      <c r="F11" s="90">
        <f>C11*E11</f>
        <v>3500</v>
      </c>
    </row>
    <row r="12" spans="1:6" ht="17.100000000000001" customHeight="1">
      <c r="A12" s="10"/>
      <c r="B12" s="91"/>
      <c r="C12" s="89"/>
      <c r="D12" s="89"/>
      <c r="E12" s="90"/>
      <c r="F12" s="90"/>
    </row>
    <row r="13" spans="1:6" ht="17.100000000000001" customHeight="1">
      <c r="A13" s="10"/>
      <c r="B13" s="91"/>
      <c r="C13" s="89"/>
      <c r="D13" s="89"/>
      <c r="E13" s="90"/>
      <c r="F13" s="90"/>
    </row>
    <row r="14" spans="1:6" ht="17.100000000000001" customHeight="1">
      <c r="A14" s="10"/>
      <c r="B14" s="91"/>
      <c r="C14" s="89"/>
      <c r="D14" s="89"/>
      <c r="E14" s="90"/>
      <c r="F14" s="90"/>
    </row>
    <row r="15" spans="1:6" ht="17.100000000000001" customHeight="1">
      <c r="A15" s="10"/>
      <c r="B15" s="91"/>
      <c r="C15" s="89"/>
      <c r="D15" s="89"/>
      <c r="E15" s="90"/>
      <c r="F15" s="90"/>
    </row>
    <row r="16" spans="1:6" ht="17.100000000000001" customHeight="1">
      <c r="A16" s="10"/>
      <c r="B16" s="91"/>
      <c r="C16" s="89"/>
      <c r="D16" s="89"/>
      <c r="E16" s="90"/>
      <c r="F16" s="90"/>
    </row>
    <row r="17" spans="1:6" ht="17.100000000000001" customHeight="1">
      <c r="A17" s="21"/>
      <c r="B17" s="92"/>
      <c r="C17" s="93"/>
      <c r="D17" s="93"/>
      <c r="E17" s="94"/>
      <c r="F17" s="94"/>
    </row>
    <row r="18" spans="1:6" ht="15.75">
      <c r="A18" s="246" t="s">
        <v>14</v>
      </c>
      <c r="B18" s="247"/>
      <c r="C18" s="247"/>
      <c r="D18" s="247"/>
      <c r="E18" s="248"/>
      <c r="F18" s="83">
        <f>SUM(F8:F17)</f>
        <v>20500</v>
      </c>
    </row>
    <row r="19" spans="1:6" ht="15.75">
      <c r="A19" s="246" t="s">
        <v>15</v>
      </c>
      <c r="B19" s="247"/>
      <c r="C19" s="247"/>
      <c r="D19" s="247"/>
      <c r="E19" s="248"/>
      <c r="F19" s="83">
        <f>+F18*9%</f>
        <v>1845</v>
      </c>
    </row>
    <row r="20" spans="1:6" ht="15.75">
      <c r="A20" s="246" t="s">
        <v>16</v>
      </c>
      <c r="B20" s="247"/>
      <c r="C20" s="247"/>
      <c r="D20" s="247"/>
      <c r="E20" s="248"/>
      <c r="F20" s="83">
        <f>+F18*9%</f>
        <v>1845</v>
      </c>
    </row>
    <row r="21" spans="1:6" ht="17.45" customHeight="1">
      <c r="A21" s="260" t="s">
        <v>17</v>
      </c>
      <c r="B21" s="261"/>
      <c r="C21" s="261"/>
      <c r="D21" s="261"/>
      <c r="E21" s="262"/>
      <c r="F21" s="84">
        <f>SUM(F18:F20)</f>
        <v>24190</v>
      </c>
    </row>
    <row r="22" spans="1:6" ht="33" customHeight="1">
      <c r="A22" s="263" t="s">
        <v>408</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8"/>
  <sheetViews>
    <sheetView topLeftCell="A4" workbookViewId="0">
      <selection activeCell="J19" sqref="J19"/>
    </sheetView>
  </sheetViews>
  <sheetFormatPr defaultRowHeight="15"/>
  <cols>
    <col min="1" max="1" width="5.5703125" customWidth="1"/>
    <col min="2" max="2" width="50.710937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386</v>
      </c>
      <c r="D3" s="255"/>
      <c r="E3" s="255"/>
      <c r="F3" s="256"/>
    </row>
    <row r="4" spans="1:6" ht="29.25" customHeight="1">
      <c r="A4" s="6"/>
      <c r="B4" s="7" t="s">
        <v>8</v>
      </c>
      <c r="C4" s="254" t="s">
        <v>387</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87" t="s">
        <v>401</v>
      </c>
      <c r="C7" s="75"/>
      <c r="D7" s="75"/>
      <c r="E7" s="74"/>
      <c r="F7" s="74"/>
    </row>
    <row r="8" spans="1:6" ht="18.75" customHeight="1">
      <c r="A8" s="10">
        <v>1</v>
      </c>
      <c r="B8" s="88" t="s">
        <v>389</v>
      </c>
      <c r="C8" s="89">
        <v>7</v>
      </c>
      <c r="D8" s="89" t="s">
        <v>13</v>
      </c>
      <c r="E8" s="90">
        <v>3200</v>
      </c>
      <c r="F8" s="90">
        <f t="shared" ref="F8:F17" si="0">C8*E8</f>
        <v>22400</v>
      </c>
    </row>
    <row r="9" spans="1:6" ht="31.7" customHeight="1">
      <c r="A9" s="10">
        <v>2</v>
      </c>
      <c r="B9" s="91" t="s">
        <v>390</v>
      </c>
      <c r="C9" s="89">
        <v>7</v>
      </c>
      <c r="D9" s="89" t="s">
        <v>13</v>
      </c>
      <c r="E9" s="90">
        <v>820</v>
      </c>
      <c r="F9" s="90">
        <f t="shared" si="0"/>
        <v>5740</v>
      </c>
    </row>
    <row r="10" spans="1:6" ht="19.5" customHeight="1">
      <c r="A10" s="10">
        <v>3</v>
      </c>
      <c r="B10" s="88" t="s">
        <v>391</v>
      </c>
      <c r="C10" s="89">
        <v>7</v>
      </c>
      <c r="D10" s="89" t="s">
        <v>13</v>
      </c>
      <c r="E10" s="90">
        <v>1300</v>
      </c>
      <c r="F10" s="90">
        <f t="shared" si="0"/>
        <v>9100</v>
      </c>
    </row>
    <row r="11" spans="1:6" ht="19.5" customHeight="1">
      <c r="A11" s="10">
        <v>4</v>
      </c>
      <c r="B11" s="88" t="s">
        <v>392</v>
      </c>
      <c r="C11" s="89">
        <v>7</v>
      </c>
      <c r="D11" s="89" t="s">
        <v>13</v>
      </c>
      <c r="E11" s="90">
        <v>1300</v>
      </c>
      <c r="F11" s="90">
        <f t="shared" si="0"/>
        <v>9100</v>
      </c>
    </row>
    <row r="12" spans="1:6" ht="30.2" customHeight="1">
      <c r="A12" s="10">
        <v>5</v>
      </c>
      <c r="B12" s="91" t="s">
        <v>393</v>
      </c>
      <c r="C12" s="89">
        <v>7</v>
      </c>
      <c r="D12" s="89" t="s">
        <v>13</v>
      </c>
      <c r="E12" s="90">
        <v>980</v>
      </c>
      <c r="F12" s="90">
        <f t="shared" si="0"/>
        <v>6860</v>
      </c>
    </row>
    <row r="13" spans="1:6" ht="28.5" customHeight="1">
      <c r="A13" s="10">
        <v>6</v>
      </c>
      <c r="B13" s="91" t="s">
        <v>394</v>
      </c>
      <c r="C13" s="89">
        <v>7</v>
      </c>
      <c r="D13" s="89" t="s">
        <v>13</v>
      </c>
      <c r="E13" s="90">
        <v>810</v>
      </c>
      <c r="F13" s="90">
        <f t="shared" si="0"/>
        <v>5670</v>
      </c>
    </row>
    <row r="14" spans="1:6" ht="33" customHeight="1">
      <c r="A14" s="10">
        <v>7</v>
      </c>
      <c r="B14" s="91" t="s">
        <v>395</v>
      </c>
      <c r="C14" s="89">
        <v>7</v>
      </c>
      <c r="D14" s="89" t="s">
        <v>13</v>
      </c>
      <c r="E14" s="90">
        <v>1220</v>
      </c>
      <c r="F14" s="90">
        <f t="shared" si="0"/>
        <v>8540</v>
      </c>
    </row>
    <row r="15" spans="1:6" ht="28.5">
      <c r="A15" s="10">
        <v>8</v>
      </c>
      <c r="B15" s="91" t="s">
        <v>396</v>
      </c>
      <c r="C15" s="89">
        <v>1</v>
      </c>
      <c r="D15" s="89" t="s">
        <v>399</v>
      </c>
      <c r="E15" s="90">
        <v>4300</v>
      </c>
      <c r="F15" s="90">
        <f t="shared" si="0"/>
        <v>4300</v>
      </c>
    </row>
    <row r="16" spans="1:6" ht="28.5">
      <c r="A16" s="10">
        <v>9</v>
      </c>
      <c r="B16" s="91" t="s">
        <v>397</v>
      </c>
      <c r="C16" s="89">
        <v>1</v>
      </c>
      <c r="D16" s="89" t="s">
        <v>399</v>
      </c>
      <c r="E16" s="90">
        <v>5350</v>
      </c>
      <c r="F16" s="90">
        <f t="shared" si="0"/>
        <v>5350</v>
      </c>
    </row>
    <row r="17" spans="1:6" ht="16.5">
      <c r="A17" s="21">
        <v>10</v>
      </c>
      <c r="B17" s="92" t="s">
        <v>398</v>
      </c>
      <c r="C17" s="93">
        <v>1</v>
      </c>
      <c r="D17" s="93" t="s">
        <v>399</v>
      </c>
      <c r="E17" s="94">
        <v>3500</v>
      </c>
      <c r="F17" s="94">
        <f t="shared" si="0"/>
        <v>3500</v>
      </c>
    </row>
    <row r="18" spans="1:6" ht="15.75">
      <c r="A18" s="246" t="s">
        <v>14</v>
      </c>
      <c r="B18" s="247"/>
      <c r="C18" s="247"/>
      <c r="D18" s="247"/>
      <c r="E18" s="248"/>
      <c r="F18" s="83">
        <f>SUM(F8:F17)</f>
        <v>80560</v>
      </c>
    </row>
    <row r="19" spans="1:6" ht="15.75">
      <c r="A19" s="246" t="s">
        <v>15</v>
      </c>
      <c r="B19" s="247"/>
      <c r="C19" s="247"/>
      <c r="D19" s="247"/>
      <c r="E19" s="248"/>
      <c r="F19" s="83">
        <f>+F18*9%</f>
        <v>7250.4</v>
      </c>
    </row>
    <row r="20" spans="1:6" ht="15.75">
      <c r="A20" s="246" t="s">
        <v>16</v>
      </c>
      <c r="B20" s="247"/>
      <c r="C20" s="247"/>
      <c r="D20" s="247"/>
      <c r="E20" s="248"/>
      <c r="F20" s="83">
        <f>+F18*9%</f>
        <v>7250.4</v>
      </c>
    </row>
    <row r="21" spans="1:6" ht="17.45" customHeight="1">
      <c r="A21" s="260" t="s">
        <v>17</v>
      </c>
      <c r="B21" s="261"/>
      <c r="C21" s="261"/>
      <c r="D21" s="261"/>
      <c r="E21" s="262"/>
      <c r="F21" s="84">
        <f>SUM(F18:F20)</f>
        <v>95060.799999999988</v>
      </c>
    </row>
    <row r="22" spans="1:6" ht="33" customHeight="1">
      <c r="A22" s="263" t="s">
        <v>400</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18:E18"/>
    <mergeCell ref="B1:F1"/>
    <mergeCell ref="A2:F2"/>
    <mergeCell ref="C3:F3"/>
    <mergeCell ref="C4:F4"/>
    <mergeCell ref="C5:F5"/>
    <mergeCell ref="A19:E19"/>
    <mergeCell ref="A20:E20"/>
    <mergeCell ref="A21:E21"/>
    <mergeCell ref="A22:F22"/>
    <mergeCell ref="A23:B23"/>
    <mergeCell ref="C23:F23"/>
    <mergeCell ref="A27:F27"/>
    <mergeCell ref="A28:F28"/>
    <mergeCell ref="A24:B24"/>
    <mergeCell ref="C24:F24"/>
    <mergeCell ref="A25:B25"/>
    <mergeCell ref="C25:F25"/>
    <mergeCell ref="A26:B26"/>
    <mergeCell ref="C26:F26"/>
  </mergeCells>
  <pageMargins left="0.7" right="0.7" top="0.75" bottom="0.75" header="0.3" footer="0.3"/>
  <pageSetup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9"/>
  <sheetViews>
    <sheetView workbookViewId="0">
      <selection activeCell="H3" sqref="H3"/>
    </sheetView>
  </sheetViews>
  <sheetFormatPr defaultRowHeight="15"/>
  <cols>
    <col min="1" max="1" width="5.5703125" customWidth="1"/>
    <col min="2" max="2" width="48"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378</v>
      </c>
      <c r="D3" s="255"/>
      <c r="E3" s="255"/>
      <c r="F3" s="256"/>
    </row>
    <row r="4" spans="1:6" ht="29.25" customHeight="1">
      <c r="A4" s="6"/>
      <c r="B4" s="7" t="s">
        <v>8</v>
      </c>
      <c r="C4" s="254" t="s">
        <v>387</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87" t="s">
        <v>385</v>
      </c>
      <c r="C7" s="75"/>
      <c r="D7" s="75"/>
      <c r="E7" s="74"/>
      <c r="F7" s="74"/>
    </row>
    <row r="8" spans="1:6" ht="16.5">
      <c r="A8" s="6">
        <v>1</v>
      </c>
      <c r="B8" s="20" t="s">
        <v>383</v>
      </c>
      <c r="C8" s="68">
        <v>2</v>
      </c>
      <c r="D8" s="68" t="s">
        <v>13</v>
      </c>
      <c r="E8" s="69">
        <v>79500</v>
      </c>
      <c r="F8" s="69">
        <f>C8*E8</f>
        <v>159000</v>
      </c>
    </row>
    <row r="9" spans="1:6" ht="15.75" customHeight="1">
      <c r="A9" s="6"/>
      <c r="B9" s="20" t="s">
        <v>384</v>
      </c>
      <c r="C9" s="68"/>
      <c r="D9" s="68"/>
      <c r="E9" s="69"/>
      <c r="F9" s="69"/>
    </row>
    <row r="10" spans="1:6" ht="16.5">
      <c r="A10" s="6"/>
      <c r="B10" s="20" t="s">
        <v>372</v>
      </c>
      <c r="C10" s="68"/>
      <c r="D10" s="68"/>
      <c r="E10" s="69"/>
      <c r="F10" s="69"/>
    </row>
    <row r="11" spans="1:6" ht="16.5">
      <c r="A11" s="6"/>
      <c r="B11" s="20" t="s">
        <v>373</v>
      </c>
      <c r="C11" s="68"/>
      <c r="D11" s="68"/>
      <c r="E11" s="69"/>
      <c r="F11" s="69"/>
    </row>
    <row r="12" spans="1:6" ht="16.5">
      <c r="A12" s="6"/>
      <c r="B12" s="20"/>
      <c r="C12" s="68"/>
      <c r="D12" s="68"/>
      <c r="E12" s="69"/>
      <c r="F12" s="69"/>
    </row>
    <row r="13" spans="1:6" ht="16.5">
      <c r="A13" s="6"/>
      <c r="B13" s="20"/>
      <c r="C13" s="68"/>
      <c r="D13" s="68"/>
      <c r="E13" s="69"/>
      <c r="F13" s="69"/>
    </row>
    <row r="14" spans="1:6" ht="15.75">
      <c r="A14" s="6"/>
      <c r="B14" s="77"/>
      <c r="C14" s="68"/>
      <c r="D14" s="68"/>
      <c r="E14" s="69"/>
      <c r="F14" s="69"/>
    </row>
    <row r="15" spans="1:6" ht="15.75">
      <c r="A15" s="6"/>
      <c r="B15" s="77"/>
      <c r="C15" s="68"/>
      <c r="D15" s="68"/>
      <c r="E15" s="69"/>
      <c r="F15" s="69"/>
    </row>
    <row r="16" spans="1:6" ht="15.75">
      <c r="A16" s="6"/>
      <c r="B16" s="77"/>
      <c r="C16" s="68"/>
      <c r="D16" s="68"/>
      <c r="E16" s="69"/>
      <c r="F16" s="69"/>
    </row>
    <row r="17" spans="1:6" ht="15.75">
      <c r="A17" s="6"/>
      <c r="B17" s="60"/>
      <c r="C17" s="67"/>
      <c r="D17" s="67"/>
      <c r="E17" s="78"/>
      <c r="F17" s="69"/>
    </row>
    <row r="18" spans="1:6" ht="15.75">
      <c r="A18" s="79"/>
      <c r="B18" s="29"/>
      <c r="C18" s="80"/>
      <c r="D18" s="80"/>
      <c r="E18" s="81"/>
      <c r="F18" s="82"/>
    </row>
    <row r="19" spans="1:6" ht="15.75">
      <c r="A19" s="246" t="s">
        <v>14</v>
      </c>
      <c r="B19" s="247"/>
      <c r="C19" s="247"/>
      <c r="D19" s="247"/>
      <c r="E19" s="248"/>
      <c r="F19" s="83">
        <f>SUM(F8:F18)</f>
        <v>159000</v>
      </c>
    </row>
    <row r="20" spans="1:6" ht="15.75">
      <c r="A20" s="246" t="s">
        <v>15</v>
      </c>
      <c r="B20" s="247"/>
      <c r="C20" s="247"/>
      <c r="D20" s="247"/>
      <c r="E20" s="248"/>
      <c r="F20" s="83">
        <f>+F19*9%</f>
        <v>14310</v>
      </c>
    </row>
    <row r="21" spans="1:6" ht="15.75">
      <c r="A21" s="246" t="s">
        <v>16</v>
      </c>
      <c r="B21" s="247"/>
      <c r="C21" s="247"/>
      <c r="D21" s="247"/>
      <c r="E21" s="248"/>
      <c r="F21" s="83">
        <f>+F19*9%</f>
        <v>14310</v>
      </c>
    </row>
    <row r="22" spans="1:6" ht="17.45" customHeight="1">
      <c r="A22" s="260" t="s">
        <v>17</v>
      </c>
      <c r="B22" s="261"/>
      <c r="C22" s="261"/>
      <c r="D22" s="261"/>
      <c r="E22" s="262"/>
      <c r="F22" s="84">
        <f>SUM(F19:F21)</f>
        <v>187620</v>
      </c>
    </row>
    <row r="23" spans="1:6" ht="33" customHeight="1">
      <c r="A23" s="263" t="s">
        <v>388</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24:B24"/>
    <mergeCell ref="C24:F24"/>
    <mergeCell ref="B1:F1"/>
    <mergeCell ref="A2:F2"/>
    <mergeCell ref="C3:F3"/>
    <mergeCell ref="C4:F4"/>
    <mergeCell ref="C5:F5"/>
    <mergeCell ref="A19:E19"/>
    <mergeCell ref="A20:E20"/>
    <mergeCell ref="A21:E21"/>
    <mergeCell ref="A22:E22"/>
    <mergeCell ref="A23:F23"/>
    <mergeCell ref="A28:F28"/>
    <mergeCell ref="A29:F29"/>
    <mergeCell ref="A25:B25"/>
    <mergeCell ref="C25:F25"/>
    <mergeCell ref="A26:B26"/>
    <mergeCell ref="C26:F26"/>
    <mergeCell ref="A27:B27"/>
    <mergeCell ref="C27:F27"/>
  </mergeCells>
  <pageMargins left="0.7" right="0.7" top="0.75" bottom="0.75" header="0.3" footer="0.3"/>
  <pageSetup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0"/>
  <sheetViews>
    <sheetView topLeftCell="A4" workbookViewId="0">
      <selection activeCell="J3" sqref="J3"/>
    </sheetView>
  </sheetViews>
  <sheetFormatPr defaultRowHeight="15"/>
  <cols>
    <col min="1" max="1" width="5.5703125" customWidth="1"/>
    <col min="2" max="2" width="50.14062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374</v>
      </c>
      <c r="D3" s="255"/>
      <c r="E3" s="255"/>
      <c r="F3" s="256"/>
    </row>
    <row r="4" spans="1:6" ht="29.25" customHeight="1">
      <c r="A4" s="6"/>
      <c r="B4" s="7" t="s">
        <v>8</v>
      </c>
      <c r="C4" s="254" t="s">
        <v>369</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15" t="s">
        <v>379</v>
      </c>
      <c r="C8" s="68">
        <v>36</v>
      </c>
      <c r="D8" s="68" t="s">
        <v>60</v>
      </c>
      <c r="E8" s="69">
        <v>860</v>
      </c>
      <c r="F8" s="69">
        <f>C8*E8</f>
        <v>30960</v>
      </c>
    </row>
    <row r="9" spans="1:6" ht="15.75">
      <c r="A9" s="6">
        <v>2</v>
      </c>
      <c r="B9" s="15" t="s">
        <v>380</v>
      </c>
      <c r="C9" s="68">
        <v>100</v>
      </c>
      <c r="D9" s="68" t="s">
        <v>114</v>
      </c>
      <c r="E9" s="69">
        <v>197</v>
      </c>
      <c r="F9" s="69">
        <f>C9*E9</f>
        <v>19700</v>
      </c>
    </row>
    <row r="10" spans="1:6" ht="15.75">
      <c r="A10" s="6">
        <v>3</v>
      </c>
      <c r="B10" s="15" t="s">
        <v>381</v>
      </c>
      <c r="C10" s="68">
        <v>30</v>
      </c>
      <c r="D10" s="68" t="s">
        <v>114</v>
      </c>
      <c r="E10" s="69">
        <v>70</v>
      </c>
      <c r="F10" s="69">
        <f>C10*E10</f>
        <v>2100</v>
      </c>
    </row>
    <row r="11" spans="1:6" ht="16.5">
      <c r="A11" s="6"/>
      <c r="B11" s="20"/>
      <c r="C11" s="68"/>
      <c r="D11" s="68"/>
      <c r="E11" s="69"/>
      <c r="F11" s="69"/>
    </row>
    <row r="12" spans="1:6" ht="16.5">
      <c r="A12" s="6"/>
      <c r="B12" s="20"/>
      <c r="C12" s="68"/>
      <c r="D12" s="68"/>
      <c r="E12" s="69"/>
      <c r="F12" s="69"/>
    </row>
    <row r="13" spans="1:6" ht="16.5">
      <c r="A13" s="6"/>
      <c r="B13" s="20"/>
      <c r="C13" s="68"/>
      <c r="D13" s="68"/>
      <c r="E13" s="69"/>
      <c r="F13" s="69"/>
    </row>
    <row r="14" spans="1:6" ht="16.5">
      <c r="A14" s="6"/>
      <c r="B14" s="20"/>
      <c r="C14" s="68"/>
      <c r="D14" s="68"/>
      <c r="E14" s="69"/>
      <c r="F14" s="69"/>
    </row>
    <row r="15" spans="1:6" ht="15.75">
      <c r="A15" s="6"/>
      <c r="B15" s="77"/>
      <c r="C15" s="68"/>
      <c r="D15" s="68"/>
      <c r="E15" s="69"/>
      <c r="F15" s="69"/>
    </row>
    <row r="16" spans="1:6" ht="15.75">
      <c r="A16" s="6"/>
      <c r="B16" s="77"/>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14</v>
      </c>
      <c r="B20" s="247"/>
      <c r="C20" s="247"/>
      <c r="D20" s="247"/>
      <c r="E20" s="248"/>
      <c r="F20" s="83">
        <f>SUM(F8:F19)</f>
        <v>52760</v>
      </c>
    </row>
    <row r="21" spans="1:6" ht="15.75">
      <c r="A21" s="246" t="s">
        <v>15</v>
      </c>
      <c r="B21" s="247"/>
      <c r="C21" s="247"/>
      <c r="D21" s="247"/>
      <c r="E21" s="248"/>
      <c r="F21" s="83">
        <f>+F20*9%</f>
        <v>4748.3999999999996</v>
      </c>
    </row>
    <row r="22" spans="1:6" ht="15.75">
      <c r="A22" s="246" t="s">
        <v>16</v>
      </c>
      <c r="B22" s="247"/>
      <c r="C22" s="247"/>
      <c r="D22" s="247"/>
      <c r="E22" s="248"/>
      <c r="F22" s="83">
        <f>+F20*9%</f>
        <v>4748.3999999999996</v>
      </c>
    </row>
    <row r="23" spans="1:6" ht="17.45" customHeight="1">
      <c r="A23" s="260" t="s">
        <v>17</v>
      </c>
      <c r="B23" s="261"/>
      <c r="C23" s="261"/>
      <c r="D23" s="261"/>
      <c r="E23" s="262"/>
      <c r="F23" s="84">
        <f>SUM(F20:F22)</f>
        <v>62256.800000000003</v>
      </c>
    </row>
    <row r="24" spans="1:6" ht="33" customHeight="1">
      <c r="A24" s="263" t="s">
        <v>382</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5:B25"/>
    <mergeCell ref="C25:F25"/>
    <mergeCell ref="B1:F1"/>
    <mergeCell ref="A2:F2"/>
    <mergeCell ref="C3:F3"/>
    <mergeCell ref="C4:F4"/>
    <mergeCell ref="C5:F5"/>
    <mergeCell ref="A20:E20"/>
    <mergeCell ref="A21:E21"/>
    <mergeCell ref="A22:E22"/>
    <mergeCell ref="A23:E23"/>
    <mergeCell ref="A24:F24"/>
  </mergeCells>
  <pageMargins left="0.7" right="0.7" top="0.75" bottom="0.75" header="0.3" footer="0.3"/>
  <pageSetup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1"/>
  <sheetViews>
    <sheetView topLeftCell="A7" workbookViewId="0">
      <selection activeCell="G6" sqref="G6"/>
    </sheetView>
  </sheetViews>
  <sheetFormatPr defaultRowHeight="15"/>
  <cols>
    <col min="1" max="1" width="5.5703125" customWidth="1"/>
    <col min="2" max="2" width="50.14062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371</v>
      </c>
      <c r="D3" s="255"/>
      <c r="E3" s="255"/>
      <c r="F3" s="256"/>
    </row>
    <row r="4" spans="1:6" ht="29.25" customHeight="1">
      <c r="A4" s="6"/>
      <c r="B4" s="7" t="s">
        <v>8</v>
      </c>
      <c r="C4" s="254" t="s">
        <v>369</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6">
        <v>1</v>
      </c>
      <c r="B8" s="20" t="s">
        <v>361</v>
      </c>
      <c r="C8" s="68">
        <v>10</v>
      </c>
      <c r="D8" s="68" t="s">
        <v>13</v>
      </c>
      <c r="E8" s="69">
        <v>1480</v>
      </c>
      <c r="F8" s="69">
        <f t="shared" ref="F8:F15" si="0">C8*E8</f>
        <v>14800</v>
      </c>
    </row>
    <row r="9" spans="1:6" ht="16.5">
      <c r="A9" s="6">
        <v>2</v>
      </c>
      <c r="B9" s="20" t="s">
        <v>362</v>
      </c>
      <c r="C9" s="68">
        <v>8</v>
      </c>
      <c r="D9" s="68" t="s">
        <v>13</v>
      </c>
      <c r="E9" s="69">
        <v>4500</v>
      </c>
      <c r="F9" s="69">
        <f t="shared" si="0"/>
        <v>36000</v>
      </c>
    </row>
    <row r="10" spans="1:6" ht="15.75">
      <c r="A10" s="6">
        <v>3</v>
      </c>
      <c r="B10" s="77" t="s">
        <v>363</v>
      </c>
      <c r="C10" s="68">
        <v>8</v>
      </c>
      <c r="D10" s="68" t="s">
        <v>13</v>
      </c>
      <c r="E10" s="69">
        <v>4500</v>
      </c>
      <c r="F10" s="69">
        <f t="shared" si="0"/>
        <v>36000</v>
      </c>
    </row>
    <row r="11" spans="1:6" ht="16.5">
      <c r="A11" s="6">
        <v>4</v>
      </c>
      <c r="B11" s="20" t="s">
        <v>364</v>
      </c>
      <c r="C11" s="68">
        <v>10</v>
      </c>
      <c r="D11" s="68" t="s">
        <v>13</v>
      </c>
      <c r="E11" s="69">
        <v>2100</v>
      </c>
      <c r="F11" s="69">
        <f t="shared" si="0"/>
        <v>21000</v>
      </c>
    </row>
    <row r="12" spans="1:6" ht="16.5">
      <c r="A12" s="6">
        <v>5</v>
      </c>
      <c r="B12" s="20" t="s">
        <v>365</v>
      </c>
      <c r="C12" s="68">
        <v>1</v>
      </c>
      <c r="D12" s="68" t="s">
        <v>13</v>
      </c>
      <c r="E12" s="69">
        <v>38000</v>
      </c>
      <c r="F12" s="69">
        <f t="shared" si="0"/>
        <v>38000</v>
      </c>
    </row>
    <row r="13" spans="1:6" ht="16.5">
      <c r="A13" s="6">
        <v>6</v>
      </c>
      <c r="B13" s="20" t="s">
        <v>366</v>
      </c>
      <c r="C13" s="68">
        <v>14</v>
      </c>
      <c r="D13" s="68" t="s">
        <v>13</v>
      </c>
      <c r="E13" s="69">
        <v>1900</v>
      </c>
      <c r="F13" s="69">
        <f t="shared" si="0"/>
        <v>26600</v>
      </c>
    </row>
    <row r="14" spans="1:6" ht="16.5">
      <c r="A14" s="6">
        <v>7</v>
      </c>
      <c r="B14" s="20" t="s">
        <v>367</v>
      </c>
      <c r="C14" s="68">
        <v>1</v>
      </c>
      <c r="D14" s="68" t="s">
        <v>13</v>
      </c>
      <c r="E14" s="69">
        <v>46000</v>
      </c>
      <c r="F14" s="69">
        <f t="shared" si="0"/>
        <v>46000</v>
      </c>
    </row>
    <row r="15" spans="1:6" ht="15.75">
      <c r="A15" s="6">
        <v>8</v>
      </c>
      <c r="B15" s="77" t="s">
        <v>368</v>
      </c>
      <c r="C15" s="68">
        <v>1</v>
      </c>
      <c r="D15" s="68" t="s">
        <v>13</v>
      </c>
      <c r="E15" s="69">
        <v>23000</v>
      </c>
      <c r="F15" s="69">
        <f t="shared" si="0"/>
        <v>23000</v>
      </c>
    </row>
    <row r="16" spans="1:6" ht="15.75">
      <c r="A16" s="6"/>
      <c r="B16" s="77"/>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119</v>
      </c>
      <c r="B20" s="247"/>
      <c r="C20" s="247"/>
      <c r="D20" s="247"/>
      <c r="E20" s="248"/>
      <c r="F20" s="69">
        <v>-4828</v>
      </c>
    </row>
    <row r="21" spans="1:6" ht="15.75">
      <c r="A21" s="246" t="s">
        <v>14</v>
      </c>
      <c r="B21" s="247"/>
      <c r="C21" s="247"/>
      <c r="D21" s="247"/>
      <c r="E21" s="248"/>
      <c r="F21" s="83">
        <f>SUM(F8:F20)</f>
        <v>236572</v>
      </c>
    </row>
    <row r="22" spans="1:6" ht="15.75">
      <c r="A22" s="246" t="s">
        <v>15</v>
      </c>
      <c r="B22" s="247"/>
      <c r="C22" s="247"/>
      <c r="D22" s="247"/>
      <c r="E22" s="248"/>
      <c r="F22" s="83">
        <f>+F21*9%</f>
        <v>21291.48</v>
      </c>
    </row>
    <row r="23" spans="1:6" ht="15.75">
      <c r="A23" s="246" t="s">
        <v>16</v>
      </c>
      <c r="B23" s="247"/>
      <c r="C23" s="247"/>
      <c r="D23" s="247"/>
      <c r="E23" s="248"/>
      <c r="F23" s="83">
        <f>+F21*9%</f>
        <v>21291.48</v>
      </c>
    </row>
    <row r="24" spans="1:6" ht="17.45" customHeight="1">
      <c r="A24" s="260" t="s">
        <v>17</v>
      </c>
      <c r="B24" s="261"/>
      <c r="C24" s="261"/>
      <c r="D24" s="261"/>
      <c r="E24" s="262"/>
      <c r="F24" s="84">
        <f>SUM(F21:F23)</f>
        <v>279154.96000000002</v>
      </c>
    </row>
    <row r="25" spans="1:6" ht="33" customHeight="1">
      <c r="A25" s="263" t="s">
        <v>370</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1">
    <mergeCell ref="A21:E21"/>
    <mergeCell ref="A20:E20"/>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0"/>
  <sheetViews>
    <sheetView topLeftCell="A4" workbookViewId="0">
      <selection activeCell="I7" sqref="I7"/>
    </sheetView>
  </sheetViews>
  <sheetFormatPr defaultRowHeight="15"/>
  <cols>
    <col min="1" max="1" width="5.5703125" customWidth="1"/>
    <col min="2" max="2" width="50.14062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356</v>
      </c>
      <c r="D3" s="255"/>
      <c r="E3" s="255"/>
      <c r="F3" s="256"/>
    </row>
    <row r="4" spans="1:6" ht="29.25" customHeight="1">
      <c r="A4" s="6"/>
      <c r="B4" s="7" t="s">
        <v>8</v>
      </c>
      <c r="C4" s="254" t="s">
        <v>335</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15" t="s">
        <v>357</v>
      </c>
      <c r="C8" s="68">
        <v>1</v>
      </c>
      <c r="D8" s="68" t="s">
        <v>60</v>
      </c>
      <c r="E8" s="69">
        <v>10000</v>
      </c>
      <c r="F8" s="69">
        <f>C8*E8</f>
        <v>10000</v>
      </c>
    </row>
    <row r="9" spans="1:6" ht="15.75">
      <c r="A9" s="6"/>
      <c r="B9" s="15" t="s">
        <v>360</v>
      </c>
      <c r="C9" s="68"/>
      <c r="D9" s="68"/>
      <c r="E9" s="69"/>
      <c r="F9" s="69"/>
    </row>
    <row r="10" spans="1:6" ht="15.75">
      <c r="A10" s="6"/>
      <c r="B10" s="77"/>
      <c r="C10" s="68"/>
      <c r="D10" s="68"/>
      <c r="E10" s="69"/>
      <c r="F10" s="69"/>
    </row>
    <row r="11" spans="1:6" ht="15.75">
      <c r="A11" s="6"/>
      <c r="B11" s="15"/>
      <c r="C11" s="68"/>
      <c r="D11" s="68"/>
      <c r="E11" s="69"/>
      <c r="F11" s="69"/>
    </row>
    <row r="12" spans="1:6" ht="15.75">
      <c r="A12" s="6"/>
      <c r="B12" s="15"/>
      <c r="C12" s="68"/>
      <c r="D12" s="68"/>
      <c r="E12" s="69"/>
      <c r="F12" s="69"/>
    </row>
    <row r="13" spans="1:6" ht="15.75">
      <c r="A13" s="6"/>
      <c r="B13" s="15"/>
      <c r="C13" s="68"/>
      <c r="D13" s="68"/>
      <c r="E13" s="69"/>
      <c r="F13" s="69"/>
    </row>
    <row r="14" spans="1:6" ht="15.75">
      <c r="A14" s="6"/>
      <c r="B14" s="15"/>
      <c r="C14" s="68"/>
      <c r="D14" s="68"/>
      <c r="E14" s="69"/>
      <c r="F14" s="69"/>
    </row>
    <row r="15" spans="1:6" ht="15.75">
      <c r="A15" s="6"/>
      <c r="B15" s="77"/>
      <c r="C15" s="68"/>
      <c r="D15" s="68"/>
      <c r="E15" s="69"/>
      <c r="F15" s="69"/>
    </row>
    <row r="16" spans="1:6" ht="15.75">
      <c r="A16" s="6"/>
      <c r="B16" s="77"/>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14</v>
      </c>
      <c r="B20" s="247"/>
      <c r="C20" s="247"/>
      <c r="D20" s="247"/>
      <c r="E20" s="248"/>
      <c r="F20" s="83">
        <f>SUM(F8:F19)</f>
        <v>10000</v>
      </c>
    </row>
    <row r="21" spans="1:6" ht="15.75">
      <c r="A21" s="246" t="s">
        <v>15</v>
      </c>
      <c r="B21" s="247"/>
      <c r="C21" s="247"/>
      <c r="D21" s="247"/>
      <c r="E21" s="248"/>
      <c r="F21" s="83">
        <f>+F20*9%</f>
        <v>900</v>
      </c>
    </row>
    <row r="22" spans="1:6" ht="15.75">
      <c r="A22" s="246" t="s">
        <v>16</v>
      </c>
      <c r="B22" s="247"/>
      <c r="C22" s="247"/>
      <c r="D22" s="247"/>
      <c r="E22" s="248"/>
      <c r="F22" s="83">
        <f>+F20*9%</f>
        <v>900</v>
      </c>
    </row>
    <row r="23" spans="1:6" ht="17.45" customHeight="1">
      <c r="A23" s="260" t="s">
        <v>17</v>
      </c>
      <c r="B23" s="261"/>
      <c r="C23" s="261"/>
      <c r="D23" s="261"/>
      <c r="E23" s="262"/>
      <c r="F23" s="84">
        <f>SUM(F20:F22)</f>
        <v>11800</v>
      </c>
    </row>
    <row r="24" spans="1:6" ht="33" customHeight="1">
      <c r="A24" s="263" t="s">
        <v>358</v>
      </c>
      <c r="B24" s="264"/>
      <c r="C24" s="264"/>
      <c r="D24" s="264"/>
      <c r="E24" s="264"/>
      <c r="F24" s="265"/>
    </row>
    <row r="25" spans="1:6" ht="15" customHeight="1">
      <c r="A25" s="266" t="s">
        <v>18</v>
      </c>
      <c r="B25" s="267"/>
      <c r="C25" s="268" t="s">
        <v>19</v>
      </c>
      <c r="D25" s="269"/>
      <c r="E25" s="269"/>
      <c r="F25" s="270"/>
    </row>
    <row r="26" spans="1:6" ht="15" customHeight="1">
      <c r="A26" s="277" t="s">
        <v>359</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0:E20"/>
    <mergeCell ref="B1:F1"/>
    <mergeCell ref="A2:F2"/>
    <mergeCell ref="C3:F3"/>
    <mergeCell ref="C4:F4"/>
    <mergeCell ref="C5:F5"/>
    <mergeCell ref="A21:E21"/>
    <mergeCell ref="A22:E22"/>
    <mergeCell ref="A23:E23"/>
    <mergeCell ref="A24:F24"/>
    <mergeCell ref="A25:B25"/>
    <mergeCell ref="C25:F25"/>
    <mergeCell ref="A29:F29"/>
    <mergeCell ref="A30:F30"/>
    <mergeCell ref="A26:B26"/>
    <mergeCell ref="C26:F26"/>
    <mergeCell ref="A27:B27"/>
    <mergeCell ref="C27:F27"/>
    <mergeCell ref="A28:B28"/>
    <mergeCell ref="C28:F28"/>
  </mergeCells>
  <pageMargins left="0.7" right="0.7" top="0.75" bottom="0.75" header="0.3" footer="0.3"/>
  <pageSetup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0"/>
  <sheetViews>
    <sheetView workbookViewId="0">
      <selection activeCell="I3" sqref="I3"/>
    </sheetView>
  </sheetViews>
  <sheetFormatPr defaultRowHeight="15"/>
  <cols>
    <col min="1" max="1" width="5.5703125" customWidth="1"/>
    <col min="2" max="2" width="50.140625" customWidth="1"/>
    <col min="3" max="3" width="6.5703125" customWidth="1"/>
    <col min="4" max="4" width="6.85546875" customWidth="1"/>
    <col min="5" max="5" width="9.570312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355</v>
      </c>
      <c r="D3" s="255"/>
      <c r="E3" s="255"/>
      <c r="F3" s="256"/>
    </row>
    <row r="4" spans="1:6" ht="29.25" customHeight="1">
      <c r="A4" s="6"/>
      <c r="B4" s="7" t="s">
        <v>8</v>
      </c>
      <c r="C4" s="254" t="s">
        <v>335</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15" t="s">
        <v>349</v>
      </c>
      <c r="C8" s="68">
        <v>1</v>
      </c>
      <c r="D8" s="68" t="s">
        <v>304</v>
      </c>
      <c r="E8" s="69">
        <v>19500</v>
      </c>
      <c r="F8" s="69">
        <f>C8*E8</f>
        <v>19500</v>
      </c>
    </row>
    <row r="9" spans="1:6" ht="15.75">
      <c r="A9" s="6"/>
      <c r="B9" s="15" t="s">
        <v>350</v>
      </c>
      <c r="C9" s="68"/>
      <c r="D9" s="68"/>
      <c r="E9" s="69"/>
      <c r="F9" s="69"/>
    </row>
    <row r="10" spans="1:6" ht="15.75">
      <c r="A10" s="6"/>
      <c r="B10" s="77"/>
      <c r="C10" s="68"/>
      <c r="D10" s="68"/>
      <c r="E10" s="69"/>
      <c r="F10" s="69"/>
    </row>
    <row r="11" spans="1:6" ht="15.75">
      <c r="A11" s="6"/>
      <c r="B11" s="15"/>
      <c r="C11" s="68"/>
      <c r="D11" s="68"/>
      <c r="E11" s="69"/>
      <c r="F11" s="69"/>
    </row>
    <row r="12" spans="1:6" ht="15.75">
      <c r="A12" s="6"/>
      <c r="B12" s="15"/>
      <c r="C12" s="68"/>
      <c r="D12" s="68"/>
      <c r="E12" s="69"/>
      <c r="F12" s="69"/>
    </row>
    <row r="13" spans="1:6" ht="15.75">
      <c r="A13" s="6"/>
      <c r="B13" s="15"/>
      <c r="C13" s="68"/>
      <c r="D13" s="68"/>
      <c r="E13" s="69"/>
      <c r="F13" s="69"/>
    </row>
    <row r="14" spans="1:6" ht="15.75">
      <c r="A14" s="6"/>
      <c r="B14" s="15"/>
      <c r="C14" s="68"/>
      <c r="D14" s="68"/>
      <c r="E14" s="69"/>
      <c r="F14" s="69"/>
    </row>
    <row r="15" spans="1:6" ht="15.75">
      <c r="A15" s="6"/>
      <c r="B15" s="77"/>
      <c r="C15" s="68"/>
      <c r="D15" s="68"/>
      <c r="E15" s="69"/>
      <c r="F15" s="69"/>
    </row>
    <row r="16" spans="1:6" ht="15.75">
      <c r="A16" s="6"/>
      <c r="B16" s="77"/>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14</v>
      </c>
      <c r="B20" s="247"/>
      <c r="C20" s="247"/>
      <c r="D20" s="247"/>
      <c r="E20" s="248"/>
      <c r="F20" s="83">
        <f>SUM(F8:F19)</f>
        <v>19500</v>
      </c>
    </row>
    <row r="21" spans="1:6" ht="15.75">
      <c r="A21" s="246" t="s">
        <v>15</v>
      </c>
      <c r="B21" s="247"/>
      <c r="C21" s="247"/>
      <c r="D21" s="247"/>
      <c r="E21" s="248"/>
      <c r="F21" s="83">
        <f>+F20*9%</f>
        <v>1755</v>
      </c>
    </row>
    <row r="22" spans="1:6" ht="15.75">
      <c r="A22" s="246" t="s">
        <v>16</v>
      </c>
      <c r="B22" s="247"/>
      <c r="C22" s="247"/>
      <c r="D22" s="247"/>
      <c r="E22" s="248"/>
      <c r="F22" s="83">
        <f>+F20*9%</f>
        <v>1755</v>
      </c>
    </row>
    <row r="23" spans="1:6" ht="17.45" customHeight="1">
      <c r="A23" s="260" t="s">
        <v>17</v>
      </c>
      <c r="B23" s="261"/>
      <c r="C23" s="261"/>
      <c r="D23" s="261"/>
      <c r="E23" s="262"/>
      <c r="F23" s="84">
        <f>SUM(F20:F22)</f>
        <v>23010</v>
      </c>
    </row>
    <row r="24" spans="1:6" ht="33" customHeight="1">
      <c r="A24" s="263" t="s">
        <v>354</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5:B25"/>
    <mergeCell ref="C25:F25"/>
    <mergeCell ref="B1:F1"/>
    <mergeCell ref="A2:F2"/>
    <mergeCell ref="C3:F3"/>
    <mergeCell ref="C4:F4"/>
    <mergeCell ref="C5:F5"/>
    <mergeCell ref="A20:E20"/>
    <mergeCell ref="A21:E21"/>
    <mergeCell ref="A22:E22"/>
    <mergeCell ref="A23:E23"/>
    <mergeCell ref="A24:F24"/>
  </mergeCells>
  <pageMargins left="0.7" right="0.7" top="0.75" bottom="0.75" header="0.3" footer="0.3"/>
  <pageSetup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30"/>
  <sheetViews>
    <sheetView topLeftCell="A7" workbookViewId="0">
      <selection activeCell="I4" sqref="I4"/>
    </sheetView>
  </sheetViews>
  <sheetFormatPr defaultRowHeight="15"/>
  <cols>
    <col min="1" max="1" width="5.5703125" customWidth="1"/>
    <col min="2" max="2" width="50.140625" customWidth="1"/>
    <col min="3" max="3" width="6.5703125" customWidth="1"/>
    <col min="4" max="4" width="6.85546875" customWidth="1"/>
    <col min="5" max="5" width="8.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345</v>
      </c>
      <c r="D3" s="255"/>
      <c r="E3" s="255"/>
      <c r="F3" s="256"/>
    </row>
    <row r="4" spans="1:6" ht="29.25" customHeight="1">
      <c r="A4" s="6"/>
      <c r="B4" s="7" t="s">
        <v>8</v>
      </c>
      <c r="C4" s="254" t="s">
        <v>335</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15" t="s">
        <v>347</v>
      </c>
      <c r="C8" s="68">
        <v>6</v>
      </c>
      <c r="D8" s="68" t="s">
        <v>13</v>
      </c>
      <c r="E8" s="69">
        <v>6800</v>
      </c>
      <c r="F8" s="69">
        <f>C8*E8</f>
        <v>40800</v>
      </c>
    </row>
    <row r="9" spans="1:6" ht="15.75">
      <c r="A9" s="6"/>
      <c r="B9" s="15" t="s">
        <v>346</v>
      </c>
      <c r="C9" s="68"/>
      <c r="D9" s="68"/>
      <c r="E9" s="69"/>
      <c r="F9" s="69"/>
    </row>
    <row r="10" spans="1:6" ht="15.75">
      <c r="A10" s="6"/>
      <c r="B10" s="15" t="s">
        <v>348</v>
      </c>
      <c r="C10" s="68"/>
      <c r="D10" s="68"/>
      <c r="E10" s="69"/>
      <c r="F10" s="69"/>
    </row>
    <row r="11" spans="1:6" ht="15.75">
      <c r="A11" s="6"/>
      <c r="B11" s="77" t="s">
        <v>351</v>
      </c>
      <c r="C11" s="68"/>
      <c r="D11" s="68"/>
      <c r="E11" s="69"/>
      <c r="F11" s="69"/>
    </row>
    <row r="12" spans="1:6" ht="15.75">
      <c r="A12" s="6"/>
      <c r="B12" s="77" t="s">
        <v>352</v>
      </c>
      <c r="C12" s="68"/>
      <c r="D12" s="68"/>
      <c r="E12" s="69"/>
      <c r="F12" s="69"/>
    </row>
    <row r="13" spans="1:6" ht="15.75">
      <c r="A13" s="6"/>
      <c r="B13" s="15"/>
      <c r="C13" s="68"/>
      <c r="D13" s="68"/>
      <c r="E13" s="69"/>
      <c r="F13" s="69"/>
    </row>
    <row r="14" spans="1:6" ht="15.75">
      <c r="A14" s="6"/>
      <c r="B14" s="15"/>
      <c r="C14" s="68"/>
      <c r="D14" s="68"/>
      <c r="E14" s="69"/>
      <c r="F14" s="69"/>
    </row>
    <row r="15" spans="1:6" ht="15.75">
      <c r="A15" s="6"/>
      <c r="B15" s="77"/>
      <c r="C15" s="68"/>
      <c r="D15" s="68"/>
      <c r="E15" s="69"/>
      <c r="F15" s="69"/>
    </row>
    <row r="16" spans="1:6" ht="15.75">
      <c r="A16" s="6"/>
      <c r="B16" s="77"/>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14</v>
      </c>
      <c r="B20" s="247"/>
      <c r="C20" s="247"/>
      <c r="D20" s="247"/>
      <c r="E20" s="248"/>
      <c r="F20" s="83">
        <f>SUM(F8:F19)</f>
        <v>40800</v>
      </c>
    </row>
    <row r="21" spans="1:6" ht="15.75">
      <c r="A21" s="246" t="s">
        <v>15</v>
      </c>
      <c r="B21" s="247"/>
      <c r="C21" s="247"/>
      <c r="D21" s="247"/>
      <c r="E21" s="248"/>
      <c r="F21" s="83">
        <f>+F20*9%</f>
        <v>3672</v>
      </c>
    </row>
    <row r="22" spans="1:6" ht="15.75">
      <c r="A22" s="246" t="s">
        <v>16</v>
      </c>
      <c r="B22" s="247"/>
      <c r="C22" s="247"/>
      <c r="D22" s="247"/>
      <c r="E22" s="248"/>
      <c r="F22" s="83">
        <f>+F20*9%</f>
        <v>3672</v>
      </c>
    </row>
    <row r="23" spans="1:6" ht="17.45" customHeight="1">
      <c r="A23" s="260" t="s">
        <v>17</v>
      </c>
      <c r="B23" s="261"/>
      <c r="C23" s="261"/>
      <c r="D23" s="261"/>
      <c r="E23" s="262"/>
      <c r="F23" s="84">
        <f>SUM(F20:F22)</f>
        <v>48144</v>
      </c>
    </row>
    <row r="24" spans="1:6" ht="33" customHeight="1">
      <c r="A24" s="263" t="s">
        <v>353</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5:B25"/>
    <mergeCell ref="C25:F25"/>
    <mergeCell ref="B1:F1"/>
    <mergeCell ref="A2:F2"/>
    <mergeCell ref="C3:F3"/>
    <mergeCell ref="C4:F4"/>
    <mergeCell ref="C5:F5"/>
    <mergeCell ref="A20:E20"/>
    <mergeCell ref="A21:E21"/>
    <mergeCell ref="A22:E22"/>
    <mergeCell ref="A23:E23"/>
    <mergeCell ref="A24:F24"/>
  </mergeCells>
  <pageMargins left="0.7" right="0.7" top="0.75" bottom="0.75" header="0.3" footer="0.3"/>
  <pageSetup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31"/>
  <sheetViews>
    <sheetView topLeftCell="A4" workbookViewId="0">
      <selection activeCell="K2" sqref="K2"/>
    </sheetView>
  </sheetViews>
  <sheetFormatPr defaultRowHeight="15"/>
  <cols>
    <col min="1" max="1" width="5.5703125" customWidth="1"/>
    <col min="2" max="2" width="50.140625" customWidth="1"/>
    <col min="3" max="3" width="6.5703125" customWidth="1"/>
    <col min="4" max="4" width="6.85546875" customWidth="1"/>
    <col min="5" max="5" width="8.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344</v>
      </c>
      <c r="D3" s="255"/>
      <c r="E3" s="255"/>
      <c r="F3" s="256"/>
    </row>
    <row r="4" spans="1:6" ht="29.25" customHeight="1">
      <c r="A4" s="6"/>
      <c r="B4" s="7" t="s">
        <v>8</v>
      </c>
      <c r="C4" s="254" t="s">
        <v>335</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15" t="s">
        <v>336</v>
      </c>
      <c r="C8" s="68">
        <v>10</v>
      </c>
      <c r="D8" s="68" t="s">
        <v>114</v>
      </c>
      <c r="E8" s="69">
        <v>1400</v>
      </c>
      <c r="F8" s="69">
        <f t="shared" ref="F8:F14" si="0">C8*E8</f>
        <v>14000</v>
      </c>
    </row>
    <row r="9" spans="1:6" ht="15.75">
      <c r="A9" s="6">
        <v>2</v>
      </c>
      <c r="B9" s="15" t="s">
        <v>337</v>
      </c>
      <c r="C9" s="68">
        <v>2</v>
      </c>
      <c r="D9" s="68" t="s">
        <v>13</v>
      </c>
      <c r="E9" s="69">
        <v>7100</v>
      </c>
      <c r="F9" s="69">
        <f t="shared" si="0"/>
        <v>14200</v>
      </c>
    </row>
    <row r="10" spans="1:6" ht="15.75">
      <c r="A10" s="6">
        <v>3</v>
      </c>
      <c r="B10" s="15" t="s">
        <v>338</v>
      </c>
      <c r="C10" s="68">
        <v>4</v>
      </c>
      <c r="D10" s="68" t="s">
        <v>60</v>
      </c>
      <c r="E10" s="69">
        <v>820</v>
      </c>
      <c r="F10" s="69">
        <f t="shared" si="0"/>
        <v>3280</v>
      </c>
    </row>
    <row r="11" spans="1:6" ht="15.75">
      <c r="A11" s="6">
        <v>4</v>
      </c>
      <c r="B11" s="15" t="s">
        <v>339</v>
      </c>
      <c r="C11" s="68">
        <v>4</v>
      </c>
      <c r="D11" s="68" t="s">
        <v>13</v>
      </c>
      <c r="E11" s="69">
        <v>1100</v>
      </c>
      <c r="F11" s="69">
        <f t="shared" si="0"/>
        <v>4400</v>
      </c>
    </row>
    <row r="12" spans="1:6" ht="15.75">
      <c r="A12" s="6">
        <v>5</v>
      </c>
      <c r="B12" s="15" t="s">
        <v>340</v>
      </c>
      <c r="C12" s="68">
        <v>2</v>
      </c>
      <c r="D12" s="68" t="s">
        <v>60</v>
      </c>
      <c r="E12" s="69">
        <v>1400</v>
      </c>
      <c r="F12" s="69">
        <f t="shared" si="0"/>
        <v>2800</v>
      </c>
    </row>
    <row r="13" spans="1:6" ht="15.75">
      <c r="A13" s="6">
        <v>6</v>
      </c>
      <c r="B13" s="15" t="s">
        <v>341</v>
      </c>
      <c r="C13" s="68">
        <v>4</v>
      </c>
      <c r="D13" s="68" t="s">
        <v>60</v>
      </c>
      <c r="E13" s="69">
        <v>1430</v>
      </c>
      <c r="F13" s="69">
        <f t="shared" si="0"/>
        <v>5720</v>
      </c>
    </row>
    <row r="14" spans="1:6" ht="15.75">
      <c r="A14" s="6">
        <v>7</v>
      </c>
      <c r="B14" s="15" t="s">
        <v>342</v>
      </c>
      <c r="C14" s="68">
        <v>10</v>
      </c>
      <c r="D14" s="68" t="s">
        <v>13</v>
      </c>
      <c r="E14" s="69">
        <v>700</v>
      </c>
      <c r="F14" s="69">
        <f t="shared" si="0"/>
        <v>7000</v>
      </c>
    </row>
    <row r="15" spans="1:6" ht="15.75">
      <c r="A15" s="6"/>
      <c r="B15" s="77"/>
      <c r="C15" s="68"/>
      <c r="D15" s="68"/>
      <c r="E15" s="69"/>
      <c r="F15" s="69"/>
    </row>
    <row r="16" spans="1:6" ht="15.75">
      <c r="A16" s="6"/>
      <c r="B16" s="77"/>
      <c r="C16" s="68"/>
      <c r="D16" s="68"/>
      <c r="E16" s="69"/>
      <c r="F16" s="69"/>
    </row>
    <row r="17" spans="1:6" ht="15.75">
      <c r="A17" s="6"/>
      <c r="B17" s="77"/>
      <c r="C17" s="68"/>
      <c r="D17" s="68"/>
      <c r="E17" s="69"/>
      <c r="F17" s="69"/>
    </row>
    <row r="18" spans="1:6" ht="15.75">
      <c r="A18" s="6"/>
      <c r="B18" s="60"/>
      <c r="C18" s="67"/>
      <c r="D18" s="67"/>
      <c r="E18" s="78"/>
      <c r="F18" s="69"/>
    </row>
    <row r="19" spans="1:6" ht="15.75">
      <c r="A19" s="79"/>
      <c r="B19" s="29"/>
      <c r="C19" s="80"/>
      <c r="D19" s="80"/>
      <c r="E19" s="81"/>
      <c r="F19" s="82"/>
    </row>
    <row r="20" spans="1:6" ht="15.75">
      <c r="A20" s="246" t="s">
        <v>119</v>
      </c>
      <c r="B20" s="247"/>
      <c r="C20" s="247"/>
      <c r="D20" s="247"/>
      <c r="E20" s="248"/>
      <c r="F20" s="69">
        <v>-1028</v>
      </c>
    </row>
    <row r="21" spans="1:6" ht="15.75">
      <c r="A21" s="246" t="s">
        <v>14</v>
      </c>
      <c r="B21" s="247"/>
      <c r="C21" s="247"/>
      <c r="D21" s="247"/>
      <c r="E21" s="248"/>
      <c r="F21" s="83">
        <f>SUM(F8:F20)</f>
        <v>50372</v>
      </c>
    </row>
    <row r="22" spans="1:6" ht="15.75">
      <c r="A22" s="246" t="s">
        <v>15</v>
      </c>
      <c r="B22" s="247"/>
      <c r="C22" s="247"/>
      <c r="D22" s="247"/>
      <c r="E22" s="248"/>
      <c r="F22" s="83">
        <f>+F21*9%</f>
        <v>4533.4799999999996</v>
      </c>
    </row>
    <row r="23" spans="1:6" ht="15.75">
      <c r="A23" s="246" t="s">
        <v>16</v>
      </c>
      <c r="B23" s="247"/>
      <c r="C23" s="247"/>
      <c r="D23" s="247"/>
      <c r="E23" s="248"/>
      <c r="F23" s="83">
        <f>+F21*9%</f>
        <v>4533.4799999999996</v>
      </c>
    </row>
    <row r="24" spans="1:6" ht="17.45" customHeight="1">
      <c r="A24" s="260" t="s">
        <v>17</v>
      </c>
      <c r="B24" s="261"/>
      <c r="C24" s="261"/>
      <c r="D24" s="261"/>
      <c r="E24" s="262"/>
      <c r="F24" s="84">
        <f>SUM(F21:F23)</f>
        <v>59438.959999999992</v>
      </c>
    </row>
    <row r="25" spans="1:6" ht="33" customHeight="1">
      <c r="A25" s="263" t="s">
        <v>343</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1">
    <mergeCell ref="B1:F1"/>
    <mergeCell ref="A2:F2"/>
    <mergeCell ref="C3:F3"/>
    <mergeCell ref="C4:F4"/>
    <mergeCell ref="C5:F5"/>
    <mergeCell ref="A30:F30"/>
    <mergeCell ref="A31:F31"/>
    <mergeCell ref="A20:E20"/>
    <mergeCell ref="A27:B27"/>
    <mergeCell ref="C27:F27"/>
    <mergeCell ref="A28:B28"/>
    <mergeCell ref="C28:F28"/>
    <mergeCell ref="A29:B29"/>
    <mergeCell ref="C29:F29"/>
    <mergeCell ref="A22:E22"/>
    <mergeCell ref="A23:E23"/>
    <mergeCell ref="A24:E24"/>
    <mergeCell ref="A25:F25"/>
    <mergeCell ref="A26:B26"/>
    <mergeCell ref="C26:F26"/>
    <mergeCell ref="A21:E21"/>
  </mergeCells>
  <pageMargins left="0.7" right="0.7" top="0.75" bottom="0.75" header="0.3" footer="0.3"/>
  <pageSetup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5"/>
  <sheetViews>
    <sheetView workbookViewId="0">
      <selection activeCell="J7" sqref="J7"/>
    </sheetView>
  </sheetViews>
  <sheetFormatPr defaultRowHeight="15"/>
  <cols>
    <col min="1" max="1" width="5.5703125" customWidth="1"/>
    <col min="2" max="2" width="50.140625" customWidth="1"/>
    <col min="3" max="3" width="6.5703125" customWidth="1"/>
    <col min="4" max="4" width="6.85546875" customWidth="1"/>
    <col min="5" max="5" width="8.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597</v>
      </c>
      <c r="D3" s="255"/>
      <c r="E3" s="255"/>
      <c r="F3" s="256"/>
    </row>
    <row r="4" spans="1:6" ht="29.25" customHeight="1">
      <c r="A4" s="6"/>
      <c r="B4" s="7" t="s">
        <v>8</v>
      </c>
      <c r="C4" s="254" t="s">
        <v>624</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5.75">
      <c r="A8" s="6">
        <v>1</v>
      </c>
      <c r="B8" s="50" t="s">
        <v>328</v>
      </c>
      <c r="C8" s="68">
        <v>5</v>
      </c>
      <c r="D8" s="68" t="s">
        <v>13</v>
      </c>
      <c r="E8" s="69">
        <v>5000</v>
      </c>
      <c r="F8" s="69">
        <f>C8*E8</f>
        <v>25000</v>
      </c>
    </row>
    <row r="9" spans="1:6" ht="15.75">
      <c r="A9" s="6"/>
      <c r="B9" s="77" t="s">
        <v>329</v>
      </c>
      <c r="C9" s="68"/>
      <c r="D9" s="68"/>
      <c r="E9" s="69"/>
      <c r="F9" s="69"/>
    </row>
    <row r="10" spans="1:6" ht="15.75">
      <c r="A10" s="6"/>
      <c r="B10" s="77" t="s">
        <v>41</v>
      </c>
      <c r="C10" s="68"/>
      <c r="D10" s="68"/>
      <c r="E10" s="69"/>
      <c r="F10" s="69"/>
    </row>
    <row r="11" spans="1:6" ht="15.75">
      <c r="A11" s="6"/>
      <c r="B11" s="77" t="s">
        <v>330</v>
      </c>
      <c r="C11" s="68"/>
      <c r="D11" s="68"/>
      <c r="E11" s="69"/>
      <c r="F11" s="69"/>
    </row>
    <row r="12" spans="1:6" ht="15.75">
      <c r="A12" s="6"/>
      <c r="B12" s="77" t="s">
        <v>331</v>
      </c>
      <c r="C12" s="68"/>
      <c r="D12" s="68"/>
      <c r="E12" s="69"/>
      <c r="F12" s="69"/>
    </row>
    <row r="13" spans="1:6" ht="15.75">
      <c r="A13" s="6"/>
      <c r="B13" s="60"/>
      <c r="C13" s="67"/>
      <c r="D13" s="67"/>
      <c r="E13" s="78"/>
      <c r="F13" s="69"/>
    </row>
    <row r="14" spans="1:6" ht="15.75">
      <c r="A14" s="79"/>
      <c r="B14" s="29"/>
      <c r="C14" s="80"/>
      <c r="D14" s="80"/>
      <c r="E14" s="81"/>
      <c r="F14" s="82"/>
    </row>
    <row r="15" spans="1:6" ht="15.75">
      <c r="A15" s="246" t="s">
        <v>14</v>
      </c>
      <c r="B15" s="247"/>
      <c r="C15" s="247"/>
      <c r="D15" s="247"/>
      <c r="E15" s="248"/>
      <c r="F15" s="83">
        <f>SUM(F8:F14)</f>
        <v>25000</v>
      </c>
    </row>
    <row r="16" spans="1:6" ht="15.75">
      <c r="A16" s="246" t="s">
        <v>15</v>
      </c>
      <c r="B16" s="247"/>
      <c r="C16" s="247"/>
      <c r="D16" s="247"/>
      <c r="E16" s="248"/>
      <c r="F16" s="83">
        <f>+F15*9%</f>
        <v>2250</v>
      </c>
    </row>
    <row r="17" spans="1:6" ht="15.75">
      <c r="A17" s="246" t="s">
        <v>16</v>
      </c>
      <c r="B17" s="247"/>
      <c r="C17" s="247"/>
      <c r="D17" s="247"/>
      <c r="E17" s="248"/>
      <c r="F17" s="83">
        <f>+F15*9%</f>
        <v>2250</v>
      </c>
    </row>
    <row r="18" spans="1:6" ht="17.45" customHeight="1">
      <c r="A18" s="260" t="s">
        <v>17</v>
      </c>
      <c r="B18" s="261"/>
      <c r="C18" s="261"/>
      <c r="D18" s="261"/>
      <c r="E18" s="262"/>
      <c r="F18" s="84">
        <f>SUM(F15:F17)</f>
        <v>29500</v>
      </c>
    </row>
    <row r="19" spans="1:6" ht="33" customHeight="1">
      <c r="A19" s="263" t="s">
        <v>633</v>
      </c>
      <c r="B19" s="264"/>
      <c r="C19" s="264"/>
      <c r="D19" s="264"/>
      <c r="E19" s="264"/>
      <c r="F19" s="265"/>
    </row>
    <row r="20" spans="1:6" ht="15" customHeight="1">
      <c r="A20" s="266" t="s">
        <v>18</v>
      </c>
      <c r="B20" s="267"/>
      <c r="C20" s="268" t="s">
        <v>19</v>
      </c>
      <c r="D20" s="269"/>
      <c r="E20" s="269"/>
      <c r="F20" s="270"/>
    </row>
    <row r="21" spans="1:6" ht="15" customHeight="1">
      <c r="A21" s="277" t="s">
        <v>20</v>
      </c>
      <c r="B21" s="278"/>
      <c r="C21" s="279" t="s">
        <v>21</v>
      </c>
      <c r="D21" s="278"/>
      <c r="E21" s="278"/>
      <c r="F21" s="280"/>
    </row>
    <row r="22" spans="1:6" ht="15" customHeight="1">
      <c r="A22" s="277" t="s">
        <v>22</v>
      </c>
      <c r="B22" s="278"/>
      <c r="C22" s="279" t="s">
        <v>23</v>
      </c>
      <c r="D22" s="278"/>
      <c r="E22" s="278"/>
      <c r="F22" s="280"/>
    </row>
    <row r="23" spans="1:6" ht="15" customHeight="1">
      <c r="A23" s="284" t="s">
        <v>24</v>
      </c>
      <c r="B23" s="285"/>
      <c r="C23" s="284" t="s">
        <v>25</v>
      </c>
      <c r="D23" s="285"/>
      <c r="E23" s="285"/>
      <c r="F23" s="286"/>
    </row>
    <row r="24" spans="1:6" ht="27" customHeight="1">
      <c r="A24" s="271" t="s">
        <v>26</v>
      </c>
      <c r="B24" s="272"/>
      <c r="C24" s="272"/>
      <c r="D24" s="272"/>
      <c r="E24" s="272"/>
      <c r="F24" s="273"/>
    </row>
    <row r="25" spans="1:6" ht="26.45" customHeight="1">
      <c r="A25" s="274" t="s">
        <v>27</v>
      </c>
      <c r="B25" s="275"/>
      <c r="C25" s="275"/>
      <c r="D25" s="275"/>
      <c r="E25" s="275"/>
      <c r="F25" s="276"/>
    </row>
  </sheetData>
  <mergeCells count="20">
    <mergeCell ref="A24:F24"/>
    <mergeCell ref="A25:F25"/>
    <mergeCell ref="A21:B21"/>
    <mergeCell ref="C21:F21"/>
    <mergeCell ref="A22:B22"/>
    <mergeCell ref="C22:F22"/>
    <mergeCell ref="A23:B23"/>
    <mergeCell ref="C23:F23"/>
    <mergeCell ref="A16:E16"/>
    <mergeCell ref="A17:E17"/>
    <mergeCell ref="A18:E18"/>
    <mergeCell ref="A19:F19"/>
    <mergeCell ref="A20:B20"/>
    <mergeCell ref="C20:F20"/>
    <mergeCell ref="A15:E15"/>
    <mergeCell ref="B1:F1"/>
    <mergeCell ref="A2:F2"/>
    <mergeCell ref="C3:F3"/>
    <mergeCell ref="C4:F4"/>
    <mergeCell ref="C5:F5"/>
  </mergeCells>
  <pageMargins left="0.7" right="0.7" top="0.75" bottom="0.75" header="0.3" footer="0.3"/>
  <pageSetup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7"/>
  <sheetViews>
    <sheetView workbookViewId="0">
      <selection activeCell="K3" sqref="K3"/>
    </sheetView>
  </sheetViews>
  <sheetFormatPr defaultRowHeight="15"/>
  <cols>
    <col min="1" max="1" width="5.5703125" customWidth="1"/>
    <col min="2" max="2" width="50.140625" customWidth="1"/>
    <col min="3" max="3" width="6.5703125" customWidth="1"/>
    <col min="4" max="4" width="6.85546875" customWidth="1"/>
    <col min="5" max="5" width="8.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334</v>
      </c>
      <c r="D3" s="255"/>
      <c r="E3" s="255"/>
      <c r="F3" s="256"/>
    </row>
    <row r="4" spans="1:6" ht="29.25" customHeight="1">
      <c r="A4" s="6"/>
      <c r="B4" s="7" t="s">
        <v>8</v>
      </c>
      <c r="C4" s="254" t="s">
        <v>316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15" t="s">
        <v>325</v>
      </c>
      <c r="C8" s="3">
        <v>2</v>
      </c>
      <c r="D8" s="3" t="s">
        <v>13</v>
      </c>
      <c r="E8" s="12">
        <v>3100</v>
      </c>
      <c r="F8" s="12">
        <f>C8*E8</f>
        <v>6200</v>
      </c>
    </row>
    <row r="9" spans="1:6" ht="16.5">
      <c r="A9" s="52">
        <v>2</v>
      </c>
      <c r="B9" s="15" t="s">
        <v>326</v>
      </c>
      <c r="C9" s="3">
        <v>2</v>
      </c>
      <c r="D9" s="3" t="s">
        <v>13</v>
      </c>
      <c r="E9" s="12">
        <v>13000</v>
      </c>
      <c r="F9" s="12">
        <f>C9*E9</f>
        <v>26000</v>
      </c>
    </row>
    <row r="10" spans="1:6" ht="16.5">
      <c r="A10" s="52">
        <v>3</v>
      </c>
      <c r="B10" s="76" t="s">
        <v>327</v>
      </c>
      <c r="C10" s="3">
        <v>5</v>
      </c>
      <c r="D10" s="3" t="s">
        <v>114</v>
      </c>
      <c r="E10" s="12">
        <v>60</v>
      </c>
      <c r="F10" s="12">
        <f>C10*E10</f>
        <v>300</v>
      </c>
    </row>
    <row r="11" spans="1:6" ht="16.5">
      <c r="A11" s="52"/>
      <c r="B11" s="76"/>
      <c r="C11" s="3"/>
      <c r="D11" s="3"/>
      <c r="E11" s="12"/>
      <c r="F11" s="12"/>
    </row>
    <row r="12" spans="1:6" ht="16.5">
      <c r="A12" s="52"/>
      <c r="B12" s="76"/>
      <c r="C12" s="3"/>
      <c r="D12" s="3"/>
      <c r="E12" s="12"/>
      <c r="F12" s="12"/>
    </row>
    <row r="13" spans="1:6" ht="16.5">
      <c r="A13" s="52"/>
      <c r="B13" s="76"/>
      <c r="C13" s="3"/>
      <c r="D13" s="3"/>
      <c r="E13" s="12"/>
      <c r="F13" s="12"/>
    </row>
    <row r="14" spans="1:6" ht="16.5">
      <c r="A14" s="52"/>
      <c r="B14" s="63"/>
      <c r="C14" s="16"/>
      <c r="D14" s="16"/>
      <c r="E14" s="51"/>
      <c r="F14" s="18"/>
    </row>
    <row r="15" spans="1:6" ht="16.5">
      <c r="A15" s="21"/>
      <c r="B15" s="22"/>
      <c r="C15" s="23"/>
      <c r="D15" s="23"/>
      <c r="E15" s="24"/>
      <c r="F15" s="25"/>
    </row>
    <row r="16" spans="1:6" ht="16.5">
      <c r="A16" s="328" t="s">
        <v>332</v>
      </c>
      <c r="B16" s="329"/>
      <c r="C16" s="329"/>
      <c r="D16" s="329"/>
      <c r="E16" s="330"/>
      <c r="F16" s="12">
        <v>-650</v>
      </c>
    </row>
    <row r="17" spans="1:6" ht="16.5">
      <c r="A17" s="328" t="s">
        <v>14</v>
      </c>
      <c r="B17" s="329"/>
      <c r="C17" s="329"/>
      <c r="D17" s="329"/>
      <c r="E17" s="330"/>
      <c r="F17" s="27">
        <f>SUM(F8:F16)</f>
        <v>31850</v>
      </c>
    </row>
    <row r="18" spans="1:6" ht="16.5">
      <c r="A18" s="328" t="s">
        <v>15</v>
      </c>
      <c r="B18" s="329"/>
      <c r="C18" s="329"/>
      <c r="D18" s="329"/>
      <c r="E18" s="330"/>
      <c r="F18" s="27">
        <f>+F17*9%</f>
        <v>2866.5</v>
      </c>
    </row>
    <row r="19" spans="1:6" ht="16.5">
      <c r="A19" s="328" t="s">
        <v>16</v>
      </c>
      <c r="B19" s="329"/>
      <c r="C19" s="329"/>
      <c r="D19" s="329"/>
      <c r="E19" s="330"/>
      <c r="F19" s="27">
        <f>+F17*9%</f>
        <v>2866.5</v>
      </c>
    </row>
    <row r="20" spans="1:6" ht="17.45" customHeight="1">
      <c r="A20" s="331" t="s">
        <v>17</v>
      </c>
      <c r="B20" s="332"/>
      <c r="C20" s="332"/>
      <c r="D20" s="332"/>
      <c r="E20" s="333"/>
      <c r="F20" s="28">
        <f>SUM(F17:F19)</f>
        <v>37583</v>
      </c>
    </row>
    <row r="21" spans="1:6" ht="33" customHeight="1">
      <c r="A21" s="263" t="s">
        <v>333</v>
      </c>
      <c r="B21" s="264"/>
      <c r="C21" s="264"/>
      <c r="D21" s="264"/>
      <c r="E21" s="264"/>
      <c r="F21" s="265"/>
    </row>
    <row r="22" spans="1:6" ht="15" customHeight="1">
      <c r="A22" s="266" t="s">
        <v>18</v>
      </c>
      <c r="B22" s="267"/>
      <c r="C22" s="268" t="s">
        <v>19</v>
      </c>
      <c r="D22" s="269"/>
      <c r="E22" s="269"/>
      <c r="F22" s="270"/>
    </row>
    <row r="23" spans="1:6" ht="15" customHeight="1">
      <c r="A23" s="277" t="s">
        <v>20</v>
      </c>
      <c r="B23" s="278"/>
      <c r="C23" s="279" t="s">
        <v>21</v>
      </c>
      <c r="D23" s="278"/>
      <c r="E23" s="278"/>
      <c r="F23" s="280"/>
    </row>
    <row r="24" spans="1:6" ht="15" customHeight="1">
      <c r="A24" s="277" t="s">
        <v>22</v>
      </c>
      <c r="B24" s="278"/>
      <c r="C24" s="279" t="s">
        <v>23</v>
      </c>
      <c r="D24" s="278"/>
      <c r="E24" s="278"/>
      <c r="F24" s="280"/>
    </row>
    <row r="25" spans="1:6" ht="15" customHeight="1">
      <c r="A25" s="284" t="s">
        <v>24</v>
      </c>
      <c r="B25" s="285"/>
      <c r="C25" s="284" t="s">
        <v>25</v>
      </c>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1">
    <mergeCell ref="A26:F26"/>
    <mergeCell ref="A27:F27"/>
    <mergeCell ref="A16:E16"/>
    <mergeCell ref="A23:B23"/>
    <mergeCell ref="C23:F23"/>
    <mergeCell ref="A24:B24"/>
    <mergeCell ref="C24:F24"/>
    <mergeCell ref="A25:B25"/>
    <mergeCell ref="C25:F25"/>
    <mergeCell ref="A18:E18"/>
    <mergeCell ref="A19:E19"/>
    <mergeCell ref="A20:E20"/>
    <mergeCell ref="A21:F21"/>
    <mergeCell ref="A22:B22"/>
    <mergeCell ref="C22:F22"/>
    <mergeCell ref="A17:E17"/>
    <mergeCell ref="B1:F1"/>
    <mergeCell ref="A2:F2"/>
    <mergeCell ref="C3:F3"/>
    <mergeCell ref="C4:F4"/>
    <mergeCell ref="C5:F5"/>
  </mergeCells>
  <pageMargins left="0.7" right="0.7" top="0.75" bottom="0.75" header="0.3" footer="0.3"/>
  <pageSetup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6"/>
  <sheetViews>
    <sheetView workbookViewId="0">
      <selection activeCell="M5" sqref="M5"/>
    </sheetView>
  </sheetViews>
  <sheetFormatPr defaultRowHeight="15"/>
  <cols>
    <col min="1" max="1" width="5.5703125" customWidth="1"/>
    <col min="2" max="2" width="50.140625" customWidth="1"/>
    <col min="3" max="3" width="6.5703125" customWidth="1"/>
    <col min="4" max="4" width="6.85546875" customWidth="1"/>
    <col min="5" max="5" width="8.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319</v>
      </c>
      <c r="D3" s="255"/>
      <c r="E3" s="255"/>
      <c r="F3" s="256"/>
    </row>
    <row r="4" spans="1:6" ht="29.25" customHeight="1">
      <c r="A4" s="6"/>
      <c r="B4" s="7" t="s">
        <v>8</v>
      </c>
      <c r="C4" s="254" t="s">
        <v>316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15" t="s">
        <v>320</v>
      </c>
      <c r="C8" s="3">
        <v>4</v>
      </c>
      <c r="D8" s="3" t="s">
        <v>13</v>
      </c>
      <c r="E8" s="12">
        <v>4100</v>
      </c>
      <c r="F8" s="12">
        <f>C8*E8</f>
        <v>16400</v>
      </c>
    </row>
    <row r="9" spans="1:6" ht="16.5">
      <c r="A9" s="52">
        <v>2</v>
      </c>
      <c r="B9" s="15" t="s">
        <v>321</v>
      </c>
      <c r="C9" s="3">
        <v>1</v>
      </c>
      <c r="D9" s="3" t="s">
        <v>13</v>
      </c>
      <c r="E9" s="12">
        <v>12500</v>
      </c>
      <c r="F9" s="12">
        <f>C9*E9</f>
        <v>12500</v>
      </c>
    </row>
    <row r="10" spans="1:6" ht="16.5">
      <c r="A10" s="52"/>
      <c r="B10" s="76"/>
      <c r="C10" s="3"/>
      <c r="D10" s="3"/>
      <c r="E10" s="12"/>
      <c r="F10" s="12"/>
    </row>
    <row r="11" spans="1:6" ht="16.5">
      <c r="A11" s="52"/>
      <c r="B11" s="76"/>
      <c r="C11" s="3"/>
      <c r="D11" s="3"/>
      <c r="E11" s="12"/>
      <c r="F11" s="12"/>
    </row>
    <row r="12" spans="1:6" ht="16.5">
      <c r="A12" s="52"/>
      <c r="B12" s="76"/>
      <c r="C12" s="3"/>
      <c r="D12" s="3"/>
      <c r="E12" s="12"/>
      <c r="F12" s="12"/>
    </row>
    <row r="13" spans="1:6" ht="16.5">
      <c r="A13" s="52"/>
      <c r="B13" s="76"/>
      <c r="C13" s="3"/>
      <c r="D13" s="3"/>
      <c r="E13" s="12"/>
      <c r="F13" s="12"/>
    </row>
    <row r="14" spans="1:6" ht="16.5">
      <c r="A14" s="52"/>
      <c r="B14" s="63"/>
      <c r="C14" s="16"/>
      <c r="D14" s="16"/>
      <c r="E14" s="51"/>
      <c r="F14" s="18"/>
    </row>
    <row r="15" spans="1:6" ht="16.5">
      <c r="A15" s="21"/>
      <c r="B15" s="22"/>
      <c r="C15" s="23"/>
      <c r="D15" s="23"/>
      <c r="E15" s="24"/>
      <c r="F15" s="25"/>
    </row>
    <row r="16" spans="1:6" ht="16.5">
      <c r="A16" s="328" t="s">
        <v>14</v>
      </c>
      <c r="B16" s="329"/>
      <c r="C16" s="329"/>
      <c r="D16" s="329"/>
      <c r="E16" s="330"/>
      <c r="F16" s="27">
        <f>SUM(F8:F15)</f>
        <v>28900</v>
      </c>
    </row>
    <row r="17" spans="1:6" ht="16.5">
      <c r="A17" s="328" t="s">
        <v>15</v>
      </c>
      <c r="B17" s="329"/>
      <c r="C17" s="329"/>
      <c r="D17" s="329"/>
      <c r="E17" s="330"/>
      <c r="F17" s="27">
        <f>+F16*9%</f>
        <v>2601</v>
      </c>
    </row>
    <row r="18" spans="1:6" ht="16.5">
      <c r="A18" s="328" t="s">
        <v>16</v>
      </c>
      <c r="B18" s="329"/>
      <c r="C18" s="329"/>
      <c r="D18" s="329"/>
      <c r="E18" s="330"/>
      <c r="F18" s="27">
        <f>+F16*9%</f>
        <v>2601</v>
      </c>
    </row>
    <row r="19" spans="1:6" ht="17.45" customHeight="1">
      <c r="A19" s="331" t="s">
        <v>17</v>
      </c>
      <c r="B19" s="332"/>
      <c r="C19" s="332"/>
      <c r="D19" s="332"/>
      <c r="E19" s="333"/>
      <c r="F19" s="28">
        <f>SUM(F16:F18)</f>
        <v>34102</v>
      </c>
    </row>
    <row r="20" spans="1:6" ht="33" customHeight="1">
      <c r="A20" s="263" t="s">
        <v>322</v>
      </c>
      <c r="B20" s="264"/>
      <c r="C20" s="264"/>
      <c r="D20" s="264"/>
      <c r="E20" s="264"/>
      <c r="F20" s="265"/>
    </row>
    <row r="21" spans="1:6" ht="15" customHeight="1">
      <c r="A21" s="266" t="s">
        <v>18</v>
      </c>
      <c r="B21" s="267"/>
      <c r="C21" s="268" t="s">
        <v>19</v>
      </c>
      <c r="D21" s="269"/>
      <c r="E21" s="269"/>
      <c r="F21" s="270"/>
    </row>
    <row r="22" spans="1:6" ht="15" customHeight="1">
      <c r="A22" s="277" t="s">
        <v>20</v>
      </c>
      <c r="B22" s="278"/>
      <c r="C22" s="279" t="s">
        <v>21</v>
      </c>
      <c r="D22" s="278"/>
      <c r="E22" s="278"/>
      <c r="F22" s="280"/>
    </row>
    <row r="23" spans="1:6" ht="15" customHeight="1">
      <c r="A23" s="277" t="s">
        <v>22</v>
      </c>
      <c r="B23" s="278"/>
      <c r="C23" s="279" t="s">
        <v>23</v>
      </c>
      <c r="D23" s="278"/>
      <c r="E23" s="278"/>
      <c r="F23" s="280"/>
    </row>
    <row r="24" spans="1:6" ht="15" customHeight="1">
      <c r="A24" s="284" t="s">
        <v>24</v>
      </c>
      <c r="B24" s="285"/>
      <c r="C24" s="284" t="s">
        <v>25</v>
      </c>
      <c r="D24" s="285"/>
      <c r="E24" s="285"/>
      <c r="F24" s="286"/>
    </row>
    <row r="25" spans="1:6" ht="27" customHeight="1">
      <c r="A25" s="271" t="s">
        <v>26</v>
      </c>
      <c r="B25" s="272"/>
      <c r="C25" s="272"/>
      <c r="D25" s="272"/>
      <c r="E25" s="272"/>
      <c r="F25" s="273"/>
    </row>
    <row r="26" spans="1:6" ht="26.45" customHeight="1">
      <c r="A26" s="274" t="s">
        <v>27</v>
      </c>
      <c r="B26" s="275"/>
      <c r="C26" s="275"/>
      <c r="D26" s="275"/>
      <c r="E26" s="275"/>
      <c r="F26" s="276"/>
    </row>
  </sheetData>
  <mergeCells count="20">
    <mergeCell ref="A25:F25"/>
    <mergeCell ref="A26:F26"/>
    <mergeCell ref="A22:B22"/>
    <mergeCell ref="C22:F22"/>
    <mergeCell ref="A23:B23"/>
    <mergeCell ref="C23:F23"/>
    <mergeCell ref="A24:B24"/>
    <mergeCell ref="C24:F24"/>
    <mergeCell ref="A17:E17"/>
    <mergeCell ref="A18:E18"/>
    <mergeCell ref="A19:E19"/>
    <mergeCell ref="A20:F20"/>
    <mergeCell ref="A21:B21"/>
    <mergeCell ref="C21:F21"/>
    <mergeCell ref="A16:E16"/>
    <mergeCell ref="B1:F1"/>
    <mergeCell ref="A2:F2"/>
    <mergeCell ref="C3:F3"/>
    <mergeCell ref="C4:F4"/>
    <mergeCell ref="C5:F5"/>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6"/>
  <sheetViews>
    <sheetView topLeftCell="A4" workbookViewId="0">
      <selection activeCell="H3" sqref="H3"/>
    </sheetView>
  </sheetViews>
  <sheetFormatPr defaultRowHeight="15"/>
  <cols>
    <col min="1" max="1" width="5.5703125" customWidth="1"/>
    <col min="2" max="2" width="50.140625" customWidth="1"/>
    <col min="3" max="3" width="6.5703125" customWidth="1"/>
    <col min="4" max="4" width="6.85546875" customWidth="1"/>
    <col min="5" max="5" width="8.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315</v>
      </c>
      <c r="D3" s="255"/>
      <c r="E3" s="255"/>
      <c r="F3" s="256"/>
    </row>
    <row r="4" spans="1:6" ht="29.25" customHeight="1">
      <c r="A4" s="6"/>
      <c r="B4" s="7" t="s">
        <v>8</v>
      </c>
      <c r="C4" s="254" t="s">
        <v>316</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15" t="s">
        <v>317</v>
      </c>
      <c r="C8" s="3">
        <v>10</v>
      </c>
      <c r="D8" s="3" t="s">
        <v>13</v>
      </c>
      <c r="E8" s="12">
        <v>400</v>
      </c>
      <c r="F8" s="12">
        <f>C8*E8</f>
        <v>4000</v>
      </c>
    </row>
    <row r="9" spans="1:6" ht="16.5">
      <c r="A9" s="52"/>
      <c r="B9" s="15"/>
      <c r="C9" s="3"/>
      <c r="D9" s="3"/>
      <c r="E9" s="12"/>
      <c r="F9" s="12"/>
    </row>
    <row r="10" spans="1:6" ht="16.5">
      <c r="A10" s="52"/>
      <c r="B10" s="76"/>
      <c r="C10" s="3"/>
      <c r="D10" s="3"/>
      <c r="E10" s="12"/>
      <c r="F10" s="12"/>
    </row>
    <row r="11" spans="1:6" ht="16.5">
      <c r="A11" s="52"/>
      <c r="B11" s="76"/>
      <c r="C11" s="3"/>
      <c r="D11" s="3"/>
      <c r="E11" s="12"/>
      <c r="F11" s="12"/>
    </row>
    <row r="12" spans="1:6" ht="16.5">
      <c r="A12" s="52"/>
      <c r="B12" s="76"/>
      <c r="C12" s="3"/>
      <c r="D12" s="3"/>
      <c r="E12" s="12"/>
      <c r="F12" s="12"/>
    </row>
    <row r="13" spans="1:6" ht="16.5">
      <c r="A13" s="52"/>
      <c r="B13" s="76"/>
      <c r="C13" s="3"/>
      <c r="D13" s="3"/>
      <c r="E13" s="12"/>
      <c r="F13" s="12"/>
    </row>
    <row r="14" spans="1:6" ht="16.5">
      <c r="A14" s="52"/>
      <c r="B14" s="63"/>
      <c r="C14" s="16"/>
      <c r="D14" s="16"/>
      <c r="E14" s="51"/>
      <c r="F14" s="18"/>
    </row>
    <row r="15" spans="1:6" ht="16.5">
      <c r="A15" s="21"/>
      <c r="B15" s="22"/>
      <c r="C15" s="23"/>
      <c r="D15" s="23"/>
      <c r="E15" s="24"/>
      <c r="F15" s="25"/>
    </row>
    <row r="16" spans="1:6" ht="16.5">
      <c r="A16" s="328" t="s">
        <v>14</v>
      </c>
      <c r="B16" s="329"/>
      <c r="C16" s="329"/>
      <c r="D16" s="329"/>
      <c r="E16" s="330"/>
      <c r="F16" s="27">
        <f>SUM(F8:F15)</f>
        <v>4000</v>
      </c>
    </row>
    <row r="17" spans="1:6" ht="16.5">
      <c r="A17" s="328" t="s">
        <v>15</v>
      </c>
      <c r="B17" s="329"/>
      <c r="C17" s="329"/>
      <c r="D17" s="329"/>
      <c r="E17" s="330"/>
      <c r="F17" s="27">
        <f>+F16*9%</f>
        <v>360</v>
      </c>
    </row>
    <row r="18" spans="1:6" ht="16.5">
      <c r="A18" s="328" t="s">
        <v>16</v>
      </c>
      <c r="B18" s="329"/>
      <c r="C18" s="329"/>
      <c r="D18" s="329"/>
      <c r="E18" s="330"/>
      <c r="F18" s="27">
        <f>+F16*9%</f>
        <v>360</v>
      </c>
    </row>
    <row r="19" spans="1:6" ht="17.45" customHeight="1">
      <c r="A19" s="331" t="s">
        <v>17</v>
      </c>
      <c r="B19" s="332"/>
      <c r="C19" s="332"/>
      <c r="D19" s="332"/>
      <c r="E19" s="333"/>
      <c r="F19" s="28">
        <f>SUM(F16:F18)</f>
        <v>4720</v>
      </c>
    </row>
    <row r="20" spans="1:6" ht="33" customHeight="1">
      <c r="A20" s="263" t="s">
        <v>318</v>
      </c>
      <c r="B20" s="264"/>
      <c r="C20" s="264"/>
      <c r="D20" s="264"/>
      <c r="E20" s="264"/>
      <c r="F20" s="265"/>
    </row>
    <row r="21" spans="1:6" ht="15" customHeight="1">
      <c r="A21" s="266" t="s">
        <v>18</v>
      </c>
      <c r="B21" s="267"/>
      <c r="C21" s="268" t="s">
        <v>19</v>
      </c>
      <c r="D21" s="269"/>
      <c r="E21" s="269"/>
      <c r="F21" s="270"/>
    </row>
    <row r="22" spans="1:6" ht="15" customHeight="1">
      <c r="A22" s="277" t="s">
        <v>20</v>
      </c>
      <c r="B22" s="278"/>
      <c r="C22" s="279" t="s">
        <v>21</v>
      </c>
      <c r="D22" s="278"/>
      <c r="E22" s="278"/>
      <c r="F22" s="280"/>
    </row>
    <row r="23" spans="1:6" ht="15" customHeight="1">
      <c r="A23" s="277" t="s">
        <v>22</v>
      </c>
      <c r="B23" s="278"/>
      <c r="C23" s="279" t="s">
        <v>23</v>
      </c>
      <c r="D23" s="278"/>
      <c r="E23" s="278"/>
      <c r="F23" s="280"/>
    </row>
    <row r="24" spans="1:6" ht="15" customHeight="1">
      <c r="A24" s="284" t="s">
        <v>24</v>
      </c>
      <c r="B24" s="285"/>
      <c r="C24" s="284" t="s">
        <v>25</v>
      </c>
      <c r="D24" s="285"/>
      <c r="E24" s="285"/>
      <c r="F24" s="286"/>
    </row>
    <row r="25" spans="1:6" ht="27" customHeight="1">
      <c r="A25" s="271" t="s">
        <v>26</v>
      </c>
      <c r="B25" s="272"/>
      <c r="C25" s="272"/>
      <c r="D25" s="272"/>
      <c r="E25" s="272"/>
      <c r="F25" s="273"/>
    </row>
    <row r="26" spans="1:6" ht="26.45" customHeight="1">
      <c r="A26" s="274" t="s">
        <v>27</v>
      </c>
      <c r="B26" s="275"/>
      <c r="C26" s="275"/>
      <c r="D26" s="275"/>
      <c r="E26" s="275"/>
      <c r="F26" s="276"/>
    </row>
  </sheetData>
  <mergeCells count="20">
    <mergeCell ref="A16:E16"/>
    <mergeCell ref="B1:F1"/>
    <mergeCell ref="A2:F2"/>
    <mergeCell ref="C3:F3"/>
    <mergeCell ref="C4:F4"/>
    <mergeCell ref="C5:F5"/>
    <mergeCell ref="A17:E17"/>
    <mergeCell ref="A18:E18"/>
    <mergeCell ref="A19:E19"/>
    <mergeCell ref="A20:F20"/>
    <mergeCell ref="A21:B21"/>
    <mergeCell ref="C21:F21"/>
    <mergeCell ref="A25:F25"/>
    <mergeCell ref="A26:F26"/>
    <mergeCell ref="A22:B22"/>
    <mergeCell ref="C22:F22"/>
    <mergeCell ref="A23:B23"/>
    <mergeCell ref="C23:F23"/>
    <mergeCell ref="A24:B24"/>
    <mergeCell ref="C24:F24"/>
  </mergeCells>
  <pageMargins left="0.7" right="0.7" top="0.75" bottom="0.75" header="0.3" footer="0.3"/>
  <pageSetup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32"/>
  <sheetViews>
    <sheetView topLeftCell="A4" workbookViewId="0">
      <selection activeCell="K4" sqref="K4"/>
    </sheetView>
  </sheetViews>
  <sheetFormatPr defaultRowHeight="15"/>
  <cols>
    <col min="1" max="1" width="5.5703125" customWidth="1"/>
    <col min="2" max="2" width="50.140625" customWidth="1"/>
    <col min="3" max="3" width="6.5703125" customWidth="1"/>
    <col min="4" max="4" width="6.85546875" customWidth="1"/>
    <col min="5" max="5" width="8.7109375" customWidth="1"/>
    <col min="6" max="6" width="10.85546875"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292</v>
      </c>
      <c r="D3" s="255"/>
      <c r="E3" s="255"/>
      <c r="F3" s="256"/>
    </row>
    <row r="4" spans="1:6" ht="29.25" customHeight="1">
      <c r="A4" s="6"/>
      <c r="B4" s="7" t="s">
        <v>8</v>
      </c>
      <c r="C4" s="254" t="s">
        <v>293</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74"/>
      <c r="B7" s="74"/>
      <c r="C7" s="75"/>
      <c r="D7" s="75"/>
      <c r="E7" s="74"/>
      <c r="F7" s="74"/>
    </row>
    <row r="8" spans="1:6" ht="16.5">
      <c r="A8" s="52">
        <v>1</v>
      </c>
      <c r="B8" s="76" t="s">
        <v>307</v>
      </c>
      <c r="C8" s="3">
        <v>3</v>
      </c>
      <c r="D8" s="3" t="s">
        <v>13</v>
      </c>
      <c r="E8" s="12">
        <v>10500</v>
      </c>
      <c r="F8" s="12">
        <f t="shared" ref="F8:F14" si="0">C8*E8</f>
        <v>31500</v>
      </c>
    </row>
    <row r="9" spans="1:6" ht="16.5">
      <c r="A9" s="52">
        <v>2</v>
      </c>
      <c r="B9" s="76" t="s">
        <v>308</v>
      </c>
      <c r="C9" s="3">
        <v>1</v>
      </c>
      <c r="D9" s="3" t="s">
        <v>13</v>
      </c>
      <c r="E9" s="12">
        <v>23500</v>
      </c>
      <c r="F9" s="12">
        <f t="shared" si="0"/>
        <v>23500</v>
      </c>
    </row>
    <row r="10" spans="1:6" ht="16.5">
      <c r="A10" s="52">
        <v>3</v>
      </c>
      <c r="B10" s="76" t="s">
        <v>309</v>
      </c>
      <c r="C10" s="3">
        <v>4</v>
      </c>
      <c r="D10" s="3" t="s">
        <v>13</v>
      </c>
      <c r="E10" s="12">
        <v>6500</v>
      </c>
      <c r="F10" s="12">
        <f t="shared" si="0"/>
        <v>26000</v>
      </c>
    </row>
    <row r="11" spans="1:6" ht="16.5">
      <c r="A11" s="52">
        <v>4</v>
      </c>
      <c r="B11" s="76" t="s">
        <v>310</v>
      </c>
      <c r="C11" s="3">
        <v>1</v>
      </c>
      <c r="D11" s="3" t="s">
        <v>13</v>
      </c>
      <c r="E11" s="12">
        <v>22500</v>
      </c>
      <c r="F11" s="12">
        <f t="shared" si="0"/>
        <v>22500</v>
      </c>
    </row>
    <row r="12" spans="1:6" ht="16.5">
      <c r="A12" s="52">
        <v>5</v>
      </c>
      <c r="B12" s="76" t="s">
        <v>311</v>
      </c>
      <c r="C12" s="3">
        <v>8</v>
      </c>
      <c r="D12" s="3" t="s">
        <v>13</v>
      </c>
      <c r="E12" s="12">
        <v>2200</v>
      </c>
      <c r="F12" s="12">
        <f t="shared" si="0"/>
        <v>17600</v>
      </c>
    </row>
    <row r="13" spans="1:6" ht="16.5">
      <c r="A13" s="52">
        <v>6</v>
      </c>
      <c r="B13" s="76" t="s">
        <v>312</v>
      </c>
      <c r="C13" s="3">
        <v>1</v>
      </c>
      <c r="D13" s="3" t="s">
        <v>13</v>
      </c>
      <c r="E13" s="12">
        <v>38500</v>
      </c>
      <c r="F13" s="12">
        <f t="shared" si="0"/>
        <v>38500</v>
      </c>
    </row>
    <row r="14" spans="1:6" ht="18.75" customHeight="1">
      <c r="A14" s="52">
        <v>7</v>
      </c>
      <c r="B14" s="76" t="s">
        <v>313</v>
      </c>
      <c r="C14" s="3">
        <v>1</v>
      </c>
      <c r="D14" s="3" t="s">
        <v>13</v>
      </c>
      <c r="E14" s="12">
        <v>30000</v>
      </c>
      <c r="F14" s="12">
        <f t="shared" si="0"/>
        <v>30000</v>
      </c>
    </row>
    <row r="15" spans="1:6" ht="16.5">
      <c r="A15" s="74"/>
      <c r="B15" s="74"/>
      <c r="C15" s="3"/>
      <c r="D15" s="75"/>
      <c r="E15" s="74"/>
      <c r="F15" s="74"/>
    </row>
    <row r="16" spans="1:6" ht="16.5">
      <c r="A16" s="74"/>
      <c r="B16" s="74"/>
      <c r="C16" s="75"/>
      <c r="D16" s="75"/>
      <c r="E16" s="74"/>
      <c r="F16" s="74"/>
    </row>
    <row r="17" spans="1:6" ht="15" customHeight="1">
      <c r="A17" s="10"/>
      <c r="B17" s="59"/>
      <c r="C17" s="26"/>
      <c r="D17" s="26"/>
      <c r="E17" s="12"/>
      <c r="F17" s="13"/>
    </row>
    <row r="18" spans="1:6" ht="17.45" customHeight="1">
      <c r="A18" s="52"/>
      <c r="B18" s="73"/>
      <c r="C18" s="17"/>
      <c r="D18" s="17"/>
      <c r="E18" s="72"/>
      <c r="F18" s="18"/>
    </row>
    <row r="19" spans="1:6" ht="16.5">
      <c r="A19" s="52"/>
      <c r="B19" s="73"/>
      <c r="C19" s="17"/>
      <c r="D19" s="17"/>
      <c r="E19" s="72"/>
      <c r="F19" s="18"/>
    </row>
    <row r="20" spans="1:6" ht="16.5">
      <c r="A20" s="52"/>
      <c r="B20" s="63"/>
      <c r="C20" s="16"/>
      <c r="D20" s="16"/>
      <c r="E20" s="51"/>
      <c r="F20" s="18"/>
    </row>
    <row r="21" spans="1:6" ht="16.5">
      <c r="A21" s="21"/>
      <c r="B21" s="22"/>
      <c r="C21" s="23"/>
      <c r="D21" s="23"/>
      <c r="E21" s="24"/>
      <c r="F21" s="25"/>
    </row>
    <row r="22" spans="1:6" ht="16.5">
      <c r="A22" s="328" t="s">
        <v>14</v>
      </c>
      <c r="B22" s="329"/>
      <c r="C22" s="329"/>
      <c r="D22" s="329"/>
      <c r="E22" s="330"/>
      <c r="F22" s="27">
        <f>SUM(F8:F21)</f>
        <v>189600</v>
      </c>
    </row>
    <row r="23" spans="1:6" ht="16.5">
      <c r="A23" s="328" t="s">
        <v>15</v>
      </c>
      <c r="B23" s="329"/>
      <c r="C23" s="329"/>
      <c r="D23" s="329"/>
      <c r="E23" s="330"/>
      <c r="F23" s="27">
        <f>+F22*9%</f>
        <v>17064</v>
      </c>
    </row>
    <row r="24" spans="1:6" ht="16.5">
      <c r="A24" s="328" t="s">
        <v>16</v>
      </c>
      <c r="B24" s="329"/>
      <c r="C24" s="329"/>
      <c r="D24" s="329"/>
      <c r="E24" s="330"/>
      <c r="F24" s="27">
        <f>+F22*9%</f>
        <v>17064</v>
      </c>
    </row>
    <row r="25" spans="1:6" ht="17.45" customHeight="1">
      <c r="A25" s="331" t="s">
        <v>17</v>
      </c>
      <c r="B25" s="332"/>
      <c r="C25" s="332"/>
      <c r="D25" s="332"/>
      <c r="E25" s="333"/>
      <c r="F25" s="28">
        <f>SUM(F22:F24)</f>
        <v>223728</v>
      </c>
    </row>
    <row r="26" spans="1:6" ht="33" customHeight="1">
      <c r="A26" s="263" t="s">
        <v>314</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0">
    <mergeCell ref="A22:E22"/>
    <mergeCell ref="B1:F1"/>
    <mergeCell ref="A2:F2"/>
    <mergeCell ref="C3:F3"/>
    <mergeCell ref="C4:F4"/>
    <mergeCell ref="C5:F5"/>
    <mergeCell ref="A23:E23"/>
    <mergeCell ref="A24:E24"/>
    <mergeCell ref="A25:E25"/>
    <mergeCell ref="A26:F26"/>
    <mergeCell ref="A27:B27"/>
    <mergeCell ref="C27:F27"/>
    <mergeCell ref="A31:F31"/>
    <mergeCell ref="A32:F32"/>
    <mergeCell ref="A28:B28"/>
    <mergeCell ref="C28:F28"/>
    <mergeCell ref="A29:B29"/>
    <mergeCell ref="C29:F29"/>
    <mergeCell ref="A30:B30"/>
    <mergeCell ref="C30:F30"/>
  </mergeCells>
  <pageMargins left="0.7" right="0.7" top="0.75" bottom="0.75" header="0.3" footer="0.3"/>
  <pageSetup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31"/>
  <sheetViews>
    <sheetView topLeftCell="A7" workbookViewId="0">
      <selection activeCell="F8" sqref="F8"/>
    </sheetView>
  </sheetViews>
  <sheetFormatPr defaultRowHeight="15"/>
  <cols>
    <col min="1" max="1" width="5.5703125" customWidth="1"/>
    <col min="2" max="2" width="46.28515625" customWidth="1"/>
    <col min="3" max="3" width="6.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281</v>
      </c>
      <c r="D3" s="255"/>
      <c r="E3" s="255"/>
      <c r="F3" s="256"/>
    </row>
    <row r="4" spans="1:6" ht="29.25" customHeight="1">
      <c r="A4" s="6"/>
      <c r="B4" s="7" t="s">
        <v>8</v>
      </c>
      <c r="C4" s="254" t="s">
        <v>282</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59"/>
      <c r="C7" s="26"/>
      <c r="D7" s="26"/>
      <c r="E7" s="12"/>
      <c r="F7" s="13"/>
    </row>
    <row r="8" spans="1:6" ht="33" customHeight="1">
      <c r="A8" s="10">
        <v>1</v>
      </c>
      <c r="B8" s="62" t="s">
        <v>283</v>
      </c>
      <c r="C8" s="17">
        <v>2</v>
      </c>
      <c r="D8" s="17" t="s">
        <v>13</v>
      </c>
      <c r="E8" s="72">
        <v>34500</v>
      </c>
      <c r="F8" s="18">
        <f>C8*E8</f>
        <v>69000</v>
      </c>
    </row>
    <row r="9" spans="1:6" ht="16.5">
      <c r="A9" s="52"/>
      <c r="B9" s="15" t="s">
        <v>284</v>
      </c>
      <c r="C9" s="16"/>
      <c r="D9" s="16"/>
      <c r="E9" s="51"/>
      <c r="F9" s="18"/>
    </row>
    <row r="10" spans="1:6" ht="16.5">
      <c r="A10" s="52"/>
      <c r="B10" s="63" t="s">
        <v>285</v>
      </c>
      <c r="C10" s="16"/>
      <c r="D10" s="16"/>
      <c r="E10" s="51"/>
      <c r="F10" s="18"/>
    </row>
    <row r="11" spans="1:6" ht="16.5">
      <c r="A11" s="52"/>
      <c r="B11" s="63" t="s">
        <v>286</v>
      </c>
      <c r="C11" s="16"/>
      <c r="D11" s="16"/>
      <c r="E11" s="51"/>
      <c r="F11" s="18"/>
    </row>
    <row r="12" spans="1:6" ht="16.5">
      <c r="A12" s="10"/>
      <c r="B12" s="63" t="s">
        <v>287</v>
      </c>
      <c r="C12" s="16"/>
      <c r="D12" s="16"/>
      <c r="E12" s="51"/>
      <c r="F12" s="18"/>
    </row>
    <row r="13" spans="1:6" ht="16.5">
      <c r="A13" s="52"/>
      <c r="B13" s="63" t="s">
        <v>288</v>
      </c>
      <c r="C13" s="16"/>
      <c r="D13" s="16"/>
      <c r="E13" s="51"/>
      <c r="F13" s="18"/>
    </row>
    <row r="14" spans="1:6" ht="29.25">
      <c r="A14" s="10"/>
      <c r="B14" s="62" t="s">
        <v>289</v>
      </c>
      <c r="C14" s="17"/>
      <c r="D14" s="17"/>
      <c r="E14" s="18"/>
      <c r="F14" s="19"/>
    </row>
    <row r="15" spans="1:6" ht="16.5" customHeight="1">
      <c r="A15" s="10"/>
      <c r="B15" s="15" t="s">
        <v>290</v>
      </c>
      <c r="C15" s="17"/>
      <c r="D15" s="17"/>
      <c r="E15" s="18"/>
      <c r="F15" s="19"/>
    </row>
    <row r="16" spans="1:6" ht="16.5">
      <c r="A16" s="10"/>
      <c r="B16" s="15"/>
      <c r="C16" s="16"/>
      <c r="D16" s="16"/>
      <c r="E16" s="51"/>
      <c r="F16" s="18"/>
    </row>
    <row r="17" spans="1:6" ht="16.5">
      <c r="A17" s="10"/>
      <c r="B17" s="15"/>
      <c r="C17" s="17"/>
      <c r="D17" s="17"/>
      <c r="E17" s="18"/>
      <c r="F17" s="19"/>
    </row>
    <row r="18" spans="1:6" ht="16.5">
      <c r="A18" s="10"/>
      <c r="B18" s="63"/>
      <c r="C18" s="17"/>
      <c r="D18" s="17"/>
      <c r="E18" s="18"/>
      <c r="F18" s="19"/>
    </row>
    <row r="19" spans="1:6" ht="16.5">
      <c r="A19" s="10"/>
      <c r="B19" s="61"/>
      <c r="C19" s="17"/>
      <c r="D19" s="17"/>
      <c r="E19" s="18"/>
      <c r="F19" s="19"/>
    </row>
    <row r="20" spans="1:6" ht="16.5">
      <c r="A20" s="21"/>
      <c r="B20" s="22"/>
      <c r="C20" s="23"/>
      <c r="D20" s="23"/>
      <c r="E20" s="24"/>
      <c r="F20" s="25"/>
    </row>
    <row r="21" spans="1:6" ht="16.5">
      <c r="A21" s="328" t="s">
        <v>14</v>
      </c>
      <c r="B21" s="329"/>
      <c r="C21" s="329"/>
      <c r="D21" s="329"/>
      <c r="E21" s="330"/>
      <c r="F21" s="27">
        <f>SUM(F7:F20)</f>
        <v>69000</v>
      </c>
    </row>
    <row r="22" spans="1:6" ht="16.5">
      <c r="A22" s="328" t="s">
        <v>15</v>
      </c>
      <c r="B22" s="329"/>
      <c r="C22" s="329"/>
      <c r="D22" s="329"/>
      <c r="E22" s="330"/>
      <c r="F22" s="27">
        <f>+F21*9%</f>
        <v>6210</v>
      </c>
    </row>
    <row r="23" spans="1:6" ht="16.5">
      <c r="A23" s="328" t="s">
        <v>16</v>
      </c>
      <c r="B23" s="329"/>
      <c r="C23" s="329"/>
      <c r="D23" s="329"/>
      <c r="E23" s="330"/>
      <c r="F23" s="27">
        <f>+F21*9%</f>
        <v>6210</v>
      </c>
    </row>
    <row r="24" spans="1:6" ht="17.45" customHeight="1">
      <c r="A24" s="331" t="s">
        <v>17</v>
      </c>
      <c r="B24" s="332"/>
      <c r="C24" s="332"/>
      <c r="D24" s="332"/>
      <c r="E24" s="333"/>
      <c r="F24" s="28">
        <f>SUM(F21:F23)</f>
        <v>81420</v>
      </c>
    </row>
    <row r="25" spans="1:6" ht="33" customHeight="1">
      <c r="A25" s="263" t="s">
        <v>291</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30:F30"/>
    <mergeCell ref="A31:F31"/>
    <mergeCell ref="A27:B27"/>
    <mergeCell ref="C27:F27"/>
    <mergeCell ref="A28:B28"/>
    <mergeCell ref="C28:F28"/>
    <mergeCell ref="A29:B29"/>
    <mergeCell ref="C29:F29"/>
    <mergeCell ref="A22:E22"/>
    <mergeCell ref="A23:E23"/>
    <mergeCell ref="A24:E24"/>
    <mergeCell ref="A25:F25"/>
    <mergeCell ref="A26:B26"/>
    <mergeCell ref="C26:F26"/>
    <mergeCell ref="A21:E21"/>
    <mergeCell ref="B1:F1"/>
    <mergeCell ref="A2:F2"/>
    <mergeCell ref="C3:F3"/>
    <mergeCell ref="C4:F4"/>
    <mergeCell ref="C5:F5"/>
  </mergeCells>
  <pageMargins left="0.7" right="0.7" top="0.75" bottom="0.75" header="0.3" footer="0.3"/>
  <pageSetup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31"/>
  <sheetViews>
    <sheetView topLeftCell="A7" workbookViewId="0">
      <selection activeCell="J4" sqref="J4"/>
    </sheetView>
  </sheetViews>
  <sheetFormatPr defaultRowHeight="15"/>
  <cols>
    <col min="1" max="1" width="5.5703125" customWidth="1"/>
    <col min="2" max="2" width="46.28515625" customWidth="1"/>
    <col min="3" max="3" width="6.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294</v>
      </c>
      <c r="D3" s="255"/>
      <c r="E3" s="255"/>
      <c r="F3" s="256"/>
    </row>
    <row r="4" spans="1:6" ht="29.25" customHeight="1">
      <c r="A4" s="6"/>
      <c r="B4" s="7" t="s">
        <v>8</v>
      </c>
      <c r="C4" s="254" t="s">
        <v>282</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59"/>
      <c r="C7" s="26"/>
      <c r="D7" s="26"/>
      <c r="E7" s="12"/>
      <c r="F7" s="13"/>
    </row>
    <row r="8" spans="1:6" ht="29.25">
      <c r="A8" s="10"/>
      <c r="B8" s="62" t="s">
        <v>295</v>
      </c>
      <c r="C8" s="16"/>
      <c r="D8" s="16"/>
      <c r="E8" s="51"/>
      <c r="F8" s="18"/>
    </row>
    <row r="9" spans="1:6" ht="16.5">
      <c r="A9" s="52"/>
      <c r="B9" s="15" t="s">
        <v>54</v>
      </c>
      <c r="C9" s="16"/>
      <c r="D9" s="16"/>
      <c r="E9" s="51"/>
      <c r="F9" s="18"/>
    </row>
    <row r="10" spans="1:6" ht="16.5">
      <c r="A10" s="52">
        <v>1</v>
      </c>
      <c r="B10" s="63" t="s">
        <v>302</v>
      </c>
      <c r="C10" s="16">
        <v>1</v>
      </c>
      <c r="D10" s="16" t="s">
        <v>304</v>
      </c>
      <c r="E10" s="51">
        <v>3800</v>
      </c>
      <c r="F10" s="18">
        <f>C10*E10</f>
        <v>3800</v>
      </c>
    </row>
    <row r="11" spans="1:6" ht="16.5">
      <c r="A11" s="52"/>
      <c r="B11" s="63" t="s">
        <v>296</v>
      </c>
      <c r="C11" s="16"/>
      <c r="D11" s="16"/>
      <c r="E11" s="51"/>
      <c r="F11" s="18"/>
    </row>
    <row r="12" spans="1:6" ht="16.5">
      <c r="A12" s="10"/>
      <c r="B12" s="63" t="s">
        <v>297</v>
      </c>
      <c r="C12" s="16"/>
      <c r="D12" s="16"/>
      <c r="E12" s="51"/>
      <c r="F12" s="18"/>
    </row>
    <row r="13" spans="1:6" ht="16.5">
      <c r="A13" s="52"/>
      <c r="B13" s="63" t="s">
        <v>298</v>
      </c>
      <c r="C13" s="16"/>
      <c r="D13" s="16"/>
      <c r="E13" s="51"/>
      <c r="F13" s="18"/>
    </row>
    <row r="14" spans="1:6" ht="16.5">
      <c r="A14" s="10"/>
      <c r="B14" s="62" t="s">
        <v>299</v>
      </c>
      <c r="C14" s="17"/>
      <c r="D14" s="17"/>
      <c r="E14" s="18"/>
      <c r="F14" s="19"/>
    </row>
    <row r="15" spans="1:6" ht="16.5" customHeight="1">
      <c r="A15" s="10"/>
      <c r="B15" s="15" t="s">
        <v>300</v>
      </c>
      <c r="C15" s="17"/>
      <c r="D15" s="17"/>
      <c r="E15" s="18"/>
      <c r="F15" s="19"/>
    </row>
    <row r="16" spans="1:6" ht="16.5">
      <c r="A16" s="10"/>
      <c r="B16" s="15" t="s">
        <v>301</v>
      </c>
      <c r="C16" s="16"/>
      <c r="D16" s="16"/>
      <c r="E16" s="51"/>
      <c r="F16" s="18"/>
    </row>
    <row r="17" spans="1:6" ht="16.5">
      <c r="A17" s="10"/>
      <c r="B17" s="15" t="s">
        <v>305</v>
      </c>
      <c r="C17" s="17"/>
      <c r="D17" s="17"/>
      <c r="E17" s="18"/>
      <c r="F17" s="19"/>
    </row>
    <row r="18" spans="1:6" ht="16.5">
      <c r="A18" s="10">
        <v>2</v>
      </c>
      <c r="B18" s="63" t="s">
        <v>303</v>
      </c>
      <c r="C18" s="17">
        <v>1</v>
      </c>
      <c r="D18" s="17" t="s">
        <v>304</v>
      </c>
      <c r="E18" s="18">
        <v>3000</v>
      </c>
      <c r="F18" s="18">
        <f>C18*E18</f>
        <v>3000</v>
      </c>
    </row>
    <row r="19" spans="1:6" ht="16.5">
      <c r="A19" s="10"/>
      <c r="B19" s="61"/>
      <c r="C19" s="17"/>
      <c r="D19" s="17"/>
      <c r="E19" s="18"/>
      <c r="F19" s="19"/>
    </row>
    <row r="20" spans="1:6" ht="16.5">
      <c r="A20" s="21"/>
      <c r="B20" s="22"/>
      <c r="C20" s="23"/>
      <c r="D20" s="23"/>
      <c r="E20" s="24"/>
      <c r="F20" s="25"/>
    </row>
    <row r="21" spans="1:6" ht="16.5">
      <c r="A21" s="328" t="s">
        <v>14</v>
      </c>
      <c r="B21" s="329"/>
      <c r="C21" s="329"/>
      <c r="D21" s="329"/>
      <c r="E21" s="330"/>
      <c r="F21" s="27">
        <f>SUM(F7:F20)</f>
        <v>6800</v>
      </c>
    </row>
    <row r="22" spans="1:6" ht="16.5">
      <c r="A22" s="328" t="s">
        <v>15</v>
      </c>
      <c r="B22" s="329"/>
      <c r="C22" s="329"/>
      <c r="D22" s="329"/>
      <c r="E22" s="330"/>
      <c r="F22" s="27">
        <f>+F21*9%</f>
        <v>612</v>
      </c>
    </row>
    <row r="23" spans="1:6" ht="16.5">
      <c r="A23" s="328" t="s">
        <v>16</v>
      </c>
      <c r="B23" s="329"/>
      <c r="C23" s="329"/>
      <c r="D23" s="329"/>
      <c r="E23" s="330"/>
      <c r="F23" s="27">
        <f>+F21*9%</f>
        <v>612</v>
      </c>
    </row>
    <row r="24" spans="1:6" ht="17.45" customHeight="1">
      <c r="A24" s="331" t="s">
        <v>17</v>
      </c>
      <c r="B24" s="332"/>
      <c r="C24" s="332"/>
      <c r="D24" s="332"/>
      <c r="E24" s="333"/>
      <c r="F24" s="28">
        <f>SUM(F21:F23)</f>
        <v>8024</v>
      </c>
    </row>
    <row r="25" spans="1:6" ht="33" customHeight="1">
      <c r="A25" s="263" t="s">
        <v>306</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30:F30"/>
    <mergeCell ref="A31:F31"/>
    <mergeCell ref="A27:B27"/>
    <mergeCell ref="C27:F27"/>
    <mergeCell ref="A28:B28"/>
    <mergeCell ref="C28:F28"/>
    <mergeCell ref="A29:B29"/>
    <mergeCell ref="C29:F29"/>
    <mergeCell ref="A22:E22"/>
    <mergeCell ref="A23:E23"/>
    <mergeCell ref="A24:E24"/>
    <mergeCell ref="A25:F25"/>
    <mergeCell ref="A26:B26"/>
    <mergeCell ref="C26:F26"/>
    <mergeCell ref="A21:E21"/>
    <mergeCell ref="B1:F1"/>
    <mergeCell ref="A2:F2"/>
    <mergeCell ref="C3:F3"/>
    <mergeCell ref="C4:F4"/>
    <mergeCell ref="C5:F5"/>
  </mergeCells>
  <pageMargins left="0.7" right="0.7" top="0.75" bottom="0.75" header="0.3" footer="0.3"/>
  <pageSetup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8"/>
  <sheetViews>
    <sheetView topLeftCell="A7" workbookViewId="0">
      <selection activeCell="I1" sqref="I1"/>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106</v>
      </c>
      <c r="C3" s="254" t="s">
        <v>278</v>
      </c>
      <c r="D3" s="255"/>
      <c r="E3" s="255"/>
      <c r="F3" s="256"/>
    </row>
    <row r="4" spans="1:6" ht="29.25" customHeight="1">
      <c r="A4" s="6"/>
      <c r="B4" s="7" t="s">
        <v>107</v>
      </c>
      <c r="C4" s="254" t="s">
        <v>279</v>
      </c>
      <c r="D4" s="255"/>
      <c r="E4" s="255"/>
      <c r="F4" s="256"/>
    </row>
    <row r="5" spans="1:6" ht="16.5" customHeight="1">
      <c r="A5" s="8"/>
      <c r="B5" s="2" t="s">
        <v>108</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c r="B8" s="45" t="s">
        <v>124</v>
      </c>
      <c r="C8" s="26"/>
      <c r="D8" s="3"/>
      <c r="E8" s="12"/>
      <c r="F8" s="13"/>
    </row>
    <row r="9" spans="1:6" ht="16.5">
      <c r="A9" s="10">
        <v>1</v>
      </c>
      <c r="B9" s="20" t="s">
        <v>125</v>
      </c>
      <c r="C9" s="26">
        <v>3</v>
      </c>
      <c r="D9" s="3" t="s">
        <v>112</v>
      </c>
      <c r="E9" s="12">
        <v>1000</v>
      </c>
      <c r="F9" s="13">
        <f>+C9*E9</f>
        <v>3000</v>
      </c>
    </row>
    <row r="10" spans="1:6" ht="16.5">
      <c r="A10" s="14">
        <v>2</v>
      </c>
      <c r="B10" s="20" t="s">
        <v>110</v>
      </c>
      <c r="C10" s="26">
        <v>10</v>
      </c>
      <c r="D10" s="3" t="s">
        <v>123</v>
      </c>
      <c r="E10" s="12">
        <v>750</v>
      </c>
      <c r="F10" s="13">
        <f>+C10*E10</f>
        <v>7500</v>
      </c>
    </row>
    <row r="11" spans="1:6" ht="16.5">
      <c r="A11" s="14"/>
      <c r="B11" s="20"/>
      <c r="C11" s="26"/>
      <c r="D11" s="3"/>
      <c r="E11" s="12"/>
      <c r="F11" s="13"/>
    </row>
    <row r="12" spans="1:6" ht="16.5">
      <c r="A12" s="14"/>
      <c r="B12" s="20"/>
      <c r="C12" s="26"/>
      <c r="D12" s="3"/>
      <c r="E12" s="12"/>
      <c r="F12" s="13"/>
    </row>
    <row r="13" spans="1:6" ht="16.5">
      <c r="A13" s="14"/>
      <c r="B13" s="20"/>
      <c r="C13" s="26"/>
      <c r="D13" s="17"/>
      <c r="E13" s="12"/>
      <c r="F13" s="19"/>
    </row>
    <row r="14" spans="1:6" ht="16.5">
      <c r="A14" s="10"/>
      <c r="B14" s="20"/>
      <c r="C14" s="26"/>
      <c r="D14" s="3"/>
      <c r="E14" s="12"/>
      <c r="F14" s="13"/>
    </row>
    <row r="15" spans="1:6" ht="16.5">
      <c r="A15" s="10"/>
      <c r="B15" s="20"/>
      <c r="C15" s="26"/>
      <c r="D15" s="3"/>
      <c r="E15" s="12"/>
      <c r="F15" s="13"/>
    </row>
    <row r="16" spans="1:6" ht="16.5">
      <c r="A16" s="10"/>
      <c r="B16" s="20"/>
      <c r="C16" s="26"/>
      <c r="D16" s="3"/>
      <c r="E16" s="12"/>
      <c r="F16" s="13"/>
    </row>
    <row r="17" spans="1:6" ht="16.5">
      <c r="A17" s="21"/>
      <c r="B17" s="22"/>
      <c r="C17" s="23"/>
      <c r="D17" s="23"/>
      <c r="E17" s="24"/>
      <c r="F17" s="25"/>
    </row>
    <row r="18" spans="1:6" ht="16.5">
      <c r="A18" s="328" t="s">
        <v>14</v>
      </c>
      <c r="B18" s="329"/>
      <c r="C18" s="329"/>
      <c r="D18" s="329"/>
      <c r="E18" s="330"/>
      <c r="F18" s="27">
        <f>SUM(F7:F17)</f>
        <v>10500</v>
      </c>
    </row>
    <row r="19" spans="1:6" ht="16.5">
      <c r="A19" s="328" t="s">
        <v>15</v>
      </c>
      <c r="B19" s="329"/>
      <c r="C19" s="329"/>
      <c r="D19" s="329"/>
      <c r="E19" s="330"/>
      <c r="F19" s="27">
        <f>+F18*9%</f>
        <v>945</v>
      </c>
    </row>
    <row r="20" spans="1:6" ht="16.5">
      <c r="A20" s="328" t="s">
        <v>16</v>
      </c>
      <c r="B20" s="329"/>
      <c r="C20" s="329"/>
      <c r="D20" s="329"/>
      <c r="E20" s="330"/>
      <c r="F20" s="27">
        <f>+F18*9%</f>
        <v>945</v>
      </c>
    </row>
    <row r="21" spans="1:6" ht="17.45" customHeight="1">
      <c r="A21" s="331" t="s">
        <v>17</v>
      </c>
      <c r="B21" s="332"/>
      <c r="C21" s="332"/>
      <c r="D21" s="332"/>
      <c r="E21" s="333"/>
      <c r="F21" s="28">
        <f>SUM(F18:F20)</f>
        <v>12390</v>
      </c>
    </row>
    <row r="22" spans="1:6" ht="33" customHeight="1">
      <c r="A22" s="263" t="s">
        <v>280</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18:E18"/>
    <mergeCell ref="B1:F1"/>
    <mergeCell ref="A2:F2"/>
    <mergeCell ref="C3:F3"/>
    <mergeCell ref="C4:F4"/>
    <mergeCell ref="C5:F5"/>
    <mergeCell ref="A19:E19"/>
    <mergeCell ref="A20:E20"/>
    <mergeCell ref="A21:E21"/>
    <mergeCell ref="A22:F22"/>
    <mergeCell ref="A23:B23"/>
    <mergeCell ref="C23:F23"/>
    <mergeCell ref="A27:F27"/>
    <mergeCell ref="A28:F28"/>
    <mergeCell ref="A24:B24"/>
    <mergeCell ref="C24:F24"/>
    <mergeCell ref="A25:B25"/>
    <mergeCell ref="C25:F25"/>
    <mergeCell ref="A26:B26"/>
    <mergeCell ref="C26:F26"/>
  </mergeCells>
  <pageMargins left="0.7" right="0.7" top="0.75" bottom="0.75" header="0.3" footer="0.3"/>
  <pageSetup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7"/>
  <sheetViews>
    <sheetView topLeftCell="A4" workbookViewId="0">
      <selection activeCell="I7" sqref="I7"/>
    </sheetView>
  </sheetViews>
  <sheetFormatPr defaultRowHeight="15"/>
  <cols>
    <col min="1" max="1" width="5.5703125" customWidth="1"/>
    <col min="2" max="2" width="50.140625" customWidth="1"/>
    <col min="3" max="3" width="5.85546875" customWidth="1"/>
    <col min="4" max="4" width="6.42578125" customWidth="1"/>
    <col min="5" max="5" width="10.5703125" customWidth="1"/>
    <col min="6" max="6" width="10.7109375" customWidth="1"/>
  </cols>
  <sheetData>
    <row r="1" spans="1:12" ht="117" customHeight="1">
      <c r="A1" s="1"/>
      <c r="B1" s="290" t="s">
        <v>0</v>
      </c>
      <c r="C1" s="290"/>
      <c r="D1" s="290"/>
      <c r="E1" s="290"/>
      <c r="F1" s="291"/>
    </row>
    <row r="2" spans="1:12" ht="18" customHeight="1">
      <c r="A2" s="251" t="s">
        <v>6</v>
      </c>
      <c r="B2" s="252"/>
      <c r="C2" s="252"/>
      <c r="D2" s="252"/>
      <c r="E2" s="252"/>
      <c r="F2" s="253"/>
    </row>
    <row r="3" spans="1:12" ht="17.25">
      <c r="A3" s="4" t="s">
        <v>7</v>
      </c>
      <c r="B3" s="5" t="s">
        <v>61</v>
      </c>
      <c r="C3" s="254" t="s">
        <v>324</v>
      </c>
      <c r="D3" s="255"/>
      <c r="E3" s="255"/>
      <c r="F3" s="256"/>
    </row>
    <row r="4" spans="1:12" ht="29.25" customHeight="1">
      <c r="A4" s="6"/>
      <c r="B4" s="7" t="s">
        <v>62</v>
      </c>
      <c r="C4" s="254" t="s">
        <v>316</v>
      </c>
      <c r="D4" s="255"/>
      <c r="E4" s="255"/>
      <c r="F4" s="256"/>
    </row>
    <row r="5" spans="1:12" ht="17.45" customHeight="1">
      <c r="A5" s="8"/>
      <c r="B5" s="2" t="s">
        <v>63</v>
      </c>
      <c r="C5" s="257" t="s">
        <v>9</v>
      </c>
      <c r="D5" s="258"/>
      <c r="E5" s="258"/>
      <c r="F5" s="259"/>
    </row>
    <row r="6" spans="1:12" ht="16.5">
      <c r="A6" s="9" t="s">
        <v>3</v>
      </c>
      <c r="B6" s="9" t="s">
        <v>4</v>
      </c>
      <c r="C6" s="9" t="s">
        <v>5</v>
      </c>
      <c r="D6" s="9" t="s">
        <v>10</v>
      </c>
      <c r="E6" s="9" t="s">
        <v>11</v>
      </c>
      <c r="F6" s="9" t="s">
        <v>12</v>
      </c>
    </row>
    <row r="7" spans="1:12" ht="16.5">
      <c r="A7" s="10"/>
      <c r="B7" s="46"/>
      <c r="C7" s="26"/>
      <c r="D7" s="26"/>
      <c r="E7" s="12"/>
      <c r="F7" s="13"/>
    </row>
    <row r="8" spans="1:12" ht="15.75">
      <c r="A8" s="71">
        <v>1</v>
      </c>
      <c r="B8" s="46" t="s">
        <v>272</v>
      </c>
      <c r="C8" s="67">
        <v>1</v>
      </c>
      <c r="D8" s="68" t="s">
        <v>13</v>
      </c>
      <c r="E8" s="69">
        <v>22500</v>
      </c>
      <c r="F8" s="70">
        <f>+C8*E8</f>
        <v>22500</v>
      </c>
    </row>
    <row r="9" spans="1:12" ht="15.75">
      <c r="A9" s="71"/>
      <c r="B9" s="50" t="s">
        <v>273</v>
      </c>
      <c r="C9" s="67"/>
      <c r="D9" s="68"/>
      <c r="E9" s="69"/>
      <c r="F9" s="70"/>
      <c r="L9" s="66"/>
    </row>
    <row r="10" spans="1:12" ht="15.75">
      <c r="A10" s="71"/>
      <c r="B10" s="50"/>
      <c r="C10" s="67"/>
      <c r="D10" s="68"/>
      <c r="E10" s="69"/>
      <c r="F10" s="70"/>
    </row>
    <row r="11" spans="1:12" ht="15.75">
      <c r="A11" s="71">
        <v>2</v>
      </c>
      <c r="B11" s="50" t="s">
        <v>276</v>
      </c>
      <c r="C11" s="67">
        <v>20</v>
      </c>
      <c r="D11" s="68" t="s">
        <v>13</v>
      </c>
      <c r="E11" s="69">
        <v>4000</v>
      </c>
      <c r="F11" s="70">
        <f>+C11*E11</f>
        <v>80000</v>
      </c>
    </row>
    <row r="12" spans="1:12" ht="15.75">
      <c r="A12" s="71"/>
      <c r="B12" s="50" t="s">
        <v>277</v>
      </c>
      <c r="C12" s="67"/>
      <c r="D12" s="68"/>
      <c r="E12" s="69"/>
      <c r="F12" s="70"/>
    </row>
    <row r="13" spans="1:12" ht="15.75">
      <c r="A13" s="71"/>
      <c r="B13" s="50" t="s">
        <v>274</v>
      </c>
      <c r="C13" s="67"/>
      <c r="D13" s="68"/>
      <c r="E13" s="69"/>
      <c r="F13" s="70"/>
    </row>
    <row r="14" spans="1:12" ht="15.75">
      <c r="A14" s="71"/>
      <c r="B14" s="50" t="s">
        <v>275</v>
      </c>
      <c r="C14" s="67"/>
      <c r="D14" s="68"/>
      <c r="E14" s="69"/>
      <c r="F14" s="70"/>
    </row>
    <row r="15" spans="1:12" ht="15.75">
      <c r="A15" s="71"/>
      <c r="B15" s="50"/>
      <c r="C15" s="67"/>
      <c r="D15" s="68"/>
      <c r="E15" s="69"/>
      <c r="F15" s="70"/>
    </row>
    <row r="16" spans="1:12" ht="16.5">
      <c r="A16" s="21"/>
      <c r="B16" s="29"/>
      <c r="C16" s="32"/>
      <c r="D16" s="32"/>
      <c r="E16" s="33"/>
      <c r="F16" s="25"/>
    </row>
    <row r="17" spans="1:6" ht="16.5">
      <c r="A17" s="328" t="s">
        <v>14</v>
      </c>
      <c r="B17" s="329"/>
      <c r="C17" s="329"/>
      <c r="D17" s="329"/>
      <c r="E17" s="330"/>
      <c r="F17" s="27">
        <f>SUM(F7:F16)</f>
        <v>102500</v>
      </c>
    </row>
    <row r="18" spans="1:6" ht="16.5">
      <c r="A18" s="328" t="s">
        <v>15</v>
      </c>
      <c r="B18" s="329"/>
      <c r="C18" s="329"/>
      <c r="D18" s="329"/>
      <c r="E18" s="330"/>
      <c r="F18" s="27">
        <f>+F17*9%</f>
        <v>9225</v>
      </c>
    </row>
    <row r="19" spans="1:6" ht="16.5">
      <c r="A19" s="328" t="s">
        <v>16</v>
      </c>
      <c r="B19" s="329"/>
      <c r="C19" s="329"/>
      <c r="D19" s="329"/>
      <c r="E19" s="330"/>
      <c r="F19" s="27">
        <f>+F17*9%</f>
        <v>9225</v>
      </c>
    </row>
    <row r="20" spans="1:6" ht="17.45" customHeight="1">
      <c r="A20" s="331" t="s">
        <v>17</v>
      </c>
      <c r="B20" s="332"/>
      <c r="C20" s="332"/>
      <c r="D20" s="332"/>
      <c r="E20" s="333"/>
      <c r="F20" s="28">
        <f>SUM(F17:F19)</f>
        <v>120950</v>
      </c>
    </row>
    <row r="21" spans="1:6" ht="33" customHeight="1">
      <c r="A21" s="263" t="s">
        <v>323</v>
      </c>
      <c r="B21" s="264"/>
      <c r="C21" s="264"/>
      <c r="D21" s="264"/>
      <c r="E21" s="264"/>
      <c r="F21" s="265"/>
    </row>
    <row r="22" spans="1:6" ht="15" customHeight="1">
      <c r="A22" s="266" t="s">
        <v>18</v>
      </c>
      <c r="B22" s="267"/>
      <c r="C22" s="268" t="s">
        <v>19</v>
      </c>
      <c r="D22" s="269"/>
      <c r="E22" s="269"/>
      <c r="F22" s="270"/>
    </row>
    <row r="23" spans="1:6" ht="15" customHeight="1">
      <c r="A23" s="277" t="s">
        <v>20</v>
      </c>
      <c r="B23" s="278"/>
      <c r="C23" s="279" t="s">
        <v>21</v>
      </c>
      <c r="D23" s="278"/>
      <c r="E23" s="278"/>
      <c r="F23" s="280"/>
    </row>
    <row r="24" spans="1:6" ht="15" customHeight="1">
      <c r="A24" s="277" t="s">
        <v>22</v>
      </c>
      <c r="B24" s="278"/>
      <c r="C24" s="279" t="s">
        <v>23</v>
      </c>
      <c r="D24" s="278"/>
      <c r="E24" s="278"/>
      <c r="F24" s="280"/>
    </row>
    <row r="25" spans="1:6" ht="15" customHeight="1">
      <c r="A25" s="284" t="s">
        <v>24</v>
      </c>
      <c r="B25" s="285"/>
      <c r="C25" s="284" t="s">
        <v>25</v>
      </c>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0">
    <mergeCell ref="A26:F26"/>
    <mergeCell ref="A27:F27"/>
    <mergeCell ref="A23:B23"/>
    <mergeCell ref="C23:F23"/>
    <mergeCell ref="A24:B24"/>
    <mergeCell ref="C24:F24"/>
    <mergeCell ref="A25:B25"/>
    <mergeCell ref="C25:F25"/>
    <mergeCell ref="A18:E18"/>
    <mergeCell ref="A19:E19"/>
    <mergeCell ref="A20:E20"/>
    <mergeCell ref="A21:F21"/>
    <mergeCell ref="A22:B22"/>
    <mergeCell ref="C22:F22"/>
    <mergeCell ref="A17:E17"/>
    <mergeCell ref="B1:F1"/>
    <mergeCell ref="A2:F2"/>
    <mergeCell ref="C3:F3"/>
    <mergeCell ref="C4:F4"/>
    <mergeCell ref="C5:F5"/>
  </mergeCells>
  <pageMargins left="0.7" right="0.7" top="0.75" bottom="0.75" header="0.3" footer="0.3"/>
  <pageSetup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34"/>
  <sheetViews>
    <sheetView topLeftCell="A7" workbookViewId="0">
      <selection activeCell="K8" sqref="K8"/>
    </sheetView>
  </sheetViews>
  <sheetFormatPr defaultRowHeight="15"/>
  <cols>
    <col min="1" max="1" width="5.5703125" customWidth="1"/>
    <col min="2" max="2" width="47.28515625" customWidth="1"/>
    <col min="3" max="3" width="6.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267</v>
      </c>
      <c r="D3" s="255"/>
      <c r="E3" s="255"/>
      <c r="F3" s="256"/>
    </row>
    <row r="4" spans="1:6" ht="29.25" customHeight="1">
      <c r="A4" s="6"/>
      <c r="B4" s="7" t="s">
        <v>8</v>
      </c>
      <c r="C4" s="254" t="s">
        <v>268</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3.7" customHeight="1">
      <c r="A7" s="10"/>
      <c r="B7" s="59"/>
      <c r="C7" s="26"/>
      <c r="D7" s="26"/>
      <c r="E7" s="12"/>
      <c r="F7" s="13"/>
    </row>
    <row r="8" spans="1:6" ht="16.5">
      <c r="A8" s="10">
        <v>1</v>
      </c>
      <c r="B8" s="15" t="s">
        <v>269</v>
      </c>
      <c r="C8" s="16">
        <v>12</v>
      </c>
      <c r="D8" s="16" t="s">
        <v>13</v>
      </c>
      <c r="E8" s="51">
        <v>40000</v>
      </c>
      <c r="F8" s="18">
        <f>C8*E8</f>
        <v>480000</v>
      </c>
    </row>
    <row r="9" spans="1:6" ht="16.5">
      <c r="A9" s="52"/>
      <c r="B9" s="15" t="s">
        <v>242</v>
      </c>
      <c r="C9" s="16"/>
      <c r="D9" s="16"/>
      <c r="E9" s="51"/>
      <c r="F9" s="18"/>
    </row>
    <row r="10" spans="1:6" ht="16.5">
      <c r="A10" s="52"/>
      <c r="B10" s="63" t="s">
        <v>41</v>
      </c>
      <c r="C10" s="16"/>
      <c r="D10" s="16"/>
      <c r="E10" s="51"/>
      <c r="F10" s="18"/>
    </row>
    <row r="11" spans="1:6" ht="16.5">
      <c r="A11" s="52"/>
      <c r="B11" s="63" t="s">
        <v>243</v>
      </c>
      <c r="C11" s="16"/>
      <c r="D11" s="16"/>
      <c r="E11" s="51"/>
      <c r="F11" s="18"/>
    </row>
    <row r="12" spans="1:6" ht="16.5">
      <c r="A12" s="10"/>
      <c r="B12" s="63" t="s">
        <v>244</v>
      </c>
      <c r="C12" s="16"/>
      <c r="D12" s="16"/>
      <c r="E12" s="51"/>
      <c r="F12" s="18"/>
    </row>
    <row r="13" spans="1:6" ht="16.5">
      <c r="A13" s="52"/>
      <c r="B13" s="63" t="s">
        <v>245</v>
      </c>
      <c r="C13" s="16"/>
      <c r="D13" s="16"/>
      <c r="E13" s="51"/>
      <c r="F13" s="18"/>
    </row>
    <row r="14" spans="1:6" ht="16.5">
      <c r="A14" s="10"/>
      <c r="B14" s="65" t="s">
        <v>270</v>
      </c>
      <c r="C14" s="17"/>
      <c r="D14" s="17"/>
      <c r="E14" s="18"/>
      <c r="F14" s="19"/>
    </row>
    <row r="15" spans="1:6" ht="16.5">
      <c r="A15" s="10"/>
      <c r="B15" s="65"/>
      <c r="C15" s="17"/>
      <c r="D15" s="17"/>
      <c r="E15" s="18"/>
      <c r="F15" s="19"/>
    </row>
    <row r="16" spans="1:6" ht="16.5">
      <c r="A16" s="10">
        <v>2</v>
      </c>
      <c r="B16" s="15" t="s">
        <v>269</v>
      </c>
      <c r="C16" s="16">
        <v>1</v>
      </c>
      <c r="D16" s="16" t="s">
        <v>13</v>
      </c>
      <c r="E16" s="51">
        <v>45000</v>
      </c>
      <c r="F16" s="18">
        <f>C16*E16</f>
        <v>45000</v>
      </c>
    </row>
    <row r="17" spans="1:6" ht="16.5">
      <c r="A17" s="10"/>
      <c r="B17" s="15" t="s">
        <v>246</v>
      </c>
      <c r="C17" s="17"/>
      <c r="D17" s="17"/>
      <c r="E17" s="18"/>
      <c r="F17" s="19"/>
    </row>
    <row r="18" spans="1:6" ht="16.5">
      <c r="A18" s="10"/>
      <c r="B18" s="63" t="s">
        <v>41</v>
      </c>
      <c r="C18" s="17"/>
      <c r="D18" s="17"/>
      <c r="E18" s="18"/>
      <c r="F18" s="19"/>
    </row>
    <row r="19" spans="1:6" ht="16.5">
      <c r="A19" s="10"/>
      <c r="B19" s="63" t="s">
        <v>243</v>
      </c>
      <c r="C19" s="17"/>
      <c r="D19" s="17"/>
      <c r="E19" s="18"/>
      <c r="F19" s="19"/>
    </row>
    <row r="20" spans="1:6" ht="16.5">
      <c r="A20" s="10"/>
      <c r="B20" s="63" t="s">
        <v>244</v>
      </c>
      <c r="C20" s="16"/>
      <c r="D20" s="16"/>
      <c r="E20" s="51"/>
      <c r="F20" s="18"/>
    </row>
    <row r="21" spans="1:6" ht="16.5">
      <c r="A21" s="10"/>
      <c r="B21" s="63" t="s">
        <v>245</v>
      </c>
      <c r="C21" s="17"/>
      <c r="D21" s="17"/>
      <c r="E21" s="18"/>
      <c r="F21" s="19"/>
    </row>
    <row r="22" spans="1:6" ht="16.5">
      <c r="A22" s="10"/>
      <c r="B22" s="65" t="s">
        <v>270</v>
      </c>
      <c r="C22" s="16"/>
      <c r="D22" s="17"/>
      <c r="E22" s="18"/>
      <c r="F22" s="19"/>
    </row>
    <row r="23" spans="1:6" ht="16.5">
      <c r="A23" s="21"/>
      <c r="B23" s="64"/>
      <c r="C23" s="23"/>
      <c r="D23" s="23"/>
      <c r="E23" s="24"/>
      <c r="F23" s="25"/>
    </row>
    <row r="24" spans="1:6" ht="16.5">
      <c r="A24" s="328" t="s">
        <v>14</v>
      </c>
      <c r="B24" s="329"/>
      <c r="C24" s="329"/>
      <c r="D24" s="329"/>
      <c r="E24" s="330"/>
      <c r="F24" s="27">
        <f>SUM(F7:F23)</f>
        <v>525000</v>
      </c>
    </row>
    <row r="25" spans="1:6" ht="16.5">
      <c r="A25" s="328" t="s">
        <v>15</v>
      </c>
      <c r="B25" s="329"/>
      <c r="C25" s="329"/>
      <c r="D25" s="329"/>
      <c r="E25" s="330"/>
      <c r="F25" s="27">
        <f>+F24*9%</f>
        <v>47250</v>
      </c>
    </row>
    <row r="26" spans="1:6" ht="16.5">
      <c r="A26" s="328" t="s">
        <v>16</v>
      </c>
      <c r="B26" s="329"/>
      <c r="C26" s="329"/>
      <c r="D26" s="329"/>
      <c r="E26" s="330"/>
      <c r="F26" s="27">
        <f>+F24*9%</f>
        <v>47250</v>
      </c>
    </row>
    <row r="27" spans="1:6" ht="17.45" customHeight="1">
      <c r="A27" s="331" t="s">
        <v>17</v>
      </c>
      <c r="B27" s="332"/>
      <c r="C27" s="332"/>
      <c r="D27" s="332"/>
      <c r="E27" s="333"/>
      <c r="F27" s="28">
        <f>SUM(F24:F26)</f>
        <v>619500</v>
      </c>
    </row>
    <row r="28" spans="1:6" ht="33" customHeight="1">
      <c r="A28" s="263" t="s">
        <v>271</v>
      </c>
      <c r="B28" s="264"/>
      <c r="C28" s="264"/>
      <c r="D28" s="264"/>
      <c r="E28" s="264"/>
      <c r="F28" s="265"/>
    </row>
    <row r="29" spans="1:6" ht="15" customHeight="1">
      <c r="A29" s="266" t="s">
        <v>18</v>
      </c>
      <c r="B29" s="267"/>
      <c r="C29" s="268" t="s">
        <v>19</v>
      </c>
      <c r="D29" s="269"/>
      <c r="E29" s="269"/>
      <c r="F29" s="270"/>
    </row>
    <row r="30" spans="1:6" ht="15" customHeight="1">
      <c r="A30" s="277" t="s">
        <v>20</v>
      </c>
      <c r="B30" s="278"/>
      <c r="C30" s="279" t="s">
        <v>21</v>
      </c>
      <c r="D30" s="278"/>
      <c r="E30" s="278"/>
      <c r="F30" s="280"/>
    </row>
    <row r="31" spans="1:6" ht="15" customHeight="1">
      <c r="A31" s="277" t="s">
        <v>22</v>
      </c>
      <c r="B31" s="278"/>
      <c r="C31" s="279" t="s">
        <v>23</v>
      </c>
      <c r="D31" s="278"/>
      <c r="E31" s="278"/>
      <c r="F31" s="280"/>
    </row>
    <row r="32" spans="1:6" ht="15" customHeight="1">
      <c r="A32" s="284" t="s">
        <v>24</v>
      </c>
      <c r="B32" s="285"/>
      <c r="C32" s="284" t="s">
        <v>25</v>
      </c>
      <c r="D32" s="285"/>
      <c r="E32" s="285"/>
      <c r="F32" s="286"/>
    </row>
    <row r="33" spans="1:6" ht="27" customHeight="1">
      <c r="A33" s="271" t="s">
        <v>26</v>
      </c>
      <c r="B33" s="272"/>
      <c r="C33" s="272"/>
      <c r="D33" s="272"/>
      <c r="E33" s="272"/>
      <c r="F33" s="273"/>
    </row>
    <row r="34" spans="1:6" ht="26.45" customHeight="1">
      <c r="A34" s="274" t="s">
        <v>27</v>
      </c>
      <c r="B34" s="275"/>
      <c r="C34" s="275"/>
      <c r="D34" s="275"/>
      <c r="E34" s="275"/>
      <c r="F34" s="276"/>
    </row>
  </sheetData>
  <mergeCells count="20">
    <mergeCell ref="A24:E24"/>
    <mergeCell ref="B1:F1"/>
    <mergeCell ref="A2:F2"/>
    <mergeCell ref="C3:F3"/>
    <mergeCell ref="C4:F4"/>
    <mergeCell ref="C5:F5"/>
    <mergeCell ref="A25:E25"/>
    <mergeCell ref="A26:E26"/>
    <mergeCell ref="A27:E27"/>
    <mergeCell ref="A28:F28"/>
    <mergeCell ref="A29:B29"/>
    <mergeCell ref="C29:F29"/>
    <mergeCell ref="A33:F33"/>
    <mergeCell ref="A34:F34"/>
    <mergeCell ref="A30:B30"/>
    <mergeCell ref="C30:F30"/>
    <mergeCell ref="A31:B31"/>
    <mergeCell ref="C31:F31"/>
    <mergeCell ref="A32:B32"/>
    <mergeCell ref="C32:F32"/>
  </mergeCells>
  <pageMargins left="0.7" right="0.7" top="0.75" bottom="0.75" header="0.3" footer="0.3"/>
  <pageSetup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31"/>
  <sheetViews>
    <sheetView topLeftCell="A4" workbookViewId="0">
      <selection activeCell="J5" sqref="J5"/>
    </sheetView>
  </sheetViews>
  <sheetFormatPr defaultRowHeight="15"/>
  <cols>
    <col min="1" max="1" width="5.5703125" customWidth="1"/>
    <col min="2" max="2" width="46.28515625" customWidth="1"/>
    <col min="3" max="3" width="6.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249</v>
      </c>
      <c r="D3" s="255"/>
      <c r="E3" s="255"/>
      <c r="F3" s="256"/>
    </row>
    <row r="4" spans="1:6" ht="29.25" customHeight="1">
      <c r="A4" s="6"/>
      <c r="B4" s="7" t="s">
        <v>8</v>
      </c>
      <c r="C4" s="254" t="s">
        <v>250</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59"/>
      <c r="C7" s="26"/>
      <c r="D7" s="26"/>
      <c r="E7" s="12"/>
      <c r="F7" s="13"/>
    </row>
    <row r="8" spans="1:6" ht="16.5">
      <c r="A8" s="10">
        <v>1</v>
      </c>
      <c r="B8" s="15" t="s">
        <v>251</v>
      </c>
      <c r="C8" s="16">
        <v>1</v>
      </c>
      <c r="D8" s="16" t="s">
        <v>60</v>
      </c>
      <c r="E8" s="51">
        <v>35000</v>
      </c>
      <c r="F8" s="18">
        <f>C8*E8</f>
        <v>35000</v>
      </c>
    </row>
    <row r="9" spans="1:6" ht="16.5">
      <c r="A9" s="52"/>
      <c r="B9" s="15" t="s">
        <v>253</v>
      </c>
      <c r="C9" s="16"/>
      <c r="D9" s="16"/>
      <c r="E9" s="51"/>
      <c r="F9" s="18"/>
    </row>
    <row r="10" spans="1:6" ht="16.5">
      <c r="A10" s="52"/>
      <c r="B10" s="63" t="s">
        <v>252</v>
      </c>
      <c r="C10" s="16"/>
      <c r="D10" s="16"/>
      <c r="E10" s="51"/>
      <c r="F10" s="18"/>
    </row>
    <row r="11" spans="1:6" ht="16.5">
      <c r="A11" s="52"/>
      <c r="B11" s="63" t="s">
        <v>254</v>
      </c>
      <c r="C11" s="16"/>
      <c r="D11" s="16"/>
      <c r="E11" s="51"/>
      <c r="F11" s="18"/>
    </row>
    <row r="12" spans="1:6" ht="16.5">
      <c r="A12" s="10"/>
      <c r="B12" s="63" t="s">
        <v>258</v>
      </c>
      <c r="C12" s="16"/>
      <c r="D12" s="16"/>
      <c r="E12" s="51"/>
      <c r="F12" s="18"/>
    </row>
    <row r="13" spans="1:6" ht="16.5">
      <c r="A13" s="52"/>
      <c r="B13" s="63" t="s">
        <v>255</v>
      </c>
      <c r="C13" s="16"/>
      <c r="D13" s="16"/>
      <c r="E13" s="51"/>
      <c r="F13" s="18"/>
    </row>
    <row r="14" spans="1:6" ht="16.5">
      <c r="A14" s="10"/>
      <c r="B14" s="62" t="s">
        <v>41</v>
      </c>
      <c r="C14" s="17"/>
      <c r="D14" s="17"/>
      <c r="E14" s="18"/>
      <c r="F14" s="19"/>
    </row>
    <row r="15" spans="1:6" ht="16.5" customHeight="1">
      <c r="A15" s="10"/>
      <c r="B15" s="15" t="s">
        <v>259</v>
      </c>
      <c r="C15" s="17"/>
      <c r="D15" s="17"/>
      <c r="E15" s="18"/>
      <c r="F15" s="19"/>
    </row>
    <row r="16" spans="1:6" ht="16.5">
      <c r="A16" s="10"/>
      <c r="B16" s="15" t="s">
        <v>260</v>
      </c>
      <c r="C16" s="16"/>
      <c r="D16" s="16"/>
      <c r="E16" s="51"/>
      <c r="F16" s="18"/>
    </row>
    <row r="17" spans="1:6" ht="16.5">
      <c r="A17" s="10"/>
      <c r="B17" s="15" t="s">
        <v>257</v>
      </c>
      <c r="C17" s="17"/>
      <c r="D17" s="17"/>
      <c r="E17" s="18"/>
      <c r="F17" s="19"/>
    </row>
    <row r="18" spans="1:6" ht="16.5">
      <c r="A18" s="10"/>
      <c r="B18" s="63" t="s">
        <v>256</v>
      </c>
      <c r="C18" s="17"/>
      <c r="D18" s="17"/>
      <c r="E18" s="18"/>
      <c r="F18" s="19"/>
    </row>
    <row r="19" spans="1:6" ht="16.5">
      <c r="A19" s="10"/>
      <c r="B19" s="61"/>
      <c r="C19" s="17"/>
      <c r="D19" s="17"/>
      <c r="E19" s="18"/>
      <c r="F19" s="19"/>
    </row>
    <row r="20" spans="1:6" ht="16.5">
      <c r="A20" s="21"/>
      <c r="B20" s="22"/>
      <c r="C20" s="23"/>
      <c r="D20" s="23"/>
      <c r="E20" s="24"/>
      <c r="F20" s="25"/>
    </row>
    <row r="21" spans="1:6" ht="16.5">
      <c r="A21" s="328" t="s">
        <v>14</v>
      </c>
      <c r="B21" s="329"/>
      <c r="C21" s="329"/>
      <c r="D21" s="329"/>
      <c r="E21" s="330"/>
      <c r="F21" s="27">
        <f>SUM(F7:F20)</f>
        <v>35000</v>
      </c>
    </row>
    <row r="22" spans="1:6" ht="16.5">
      <c r="A22" s="328" t="s">
        <v>15</v>
      </c>
      <c r="B22" s="329"/>
      <c r="C22" s="329"/>
      <c r="D22" s="329"/>
      <c r="E22" s="330"/>
      <c r="F22" s="27">
        <f>+F21*9%</f>
        <v>3150</v>
      </c>
    </row>
    <row r="23" spans="1:6" ht="16.5">
      <c r="A23" s="328" t="s">
        <v>16</v>
      </c>
      <c r="B23" s="329"/>
      <c r="C23" s="329"/>
      <c r="D23" s="329"/>
      <c r="E23" s="330"/>
      <c r="F23" s="27">
        <f>+F21*9%</f>
        <v>3150</v>
      </c>
    </row>
    <row r="24" spans="1:6" ht="17.45" customHeight="1">
      <c r="A24" s="331" t="s">
        <v>17</v>
      </c>
      <c r="B24" s="332"/>
      <c r="C24" s="332"/>
      <c r="D24" s="332"/>
      <c r="E24" s="333"/>
      <c r="F24" s="28">
        <f>SUM(F21:F23)</f>
        <v>41300</v>
      </c>
    </row>
    <row r="25" spans="1:6" ht="33" customHeight="1">
      <c r="A25" s="263" t="s">
        <v>261</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0">
    <mergeCell ref="A21:E21"/>
    <mergeCell ref="B1:F1"/>
    <mergeCell ref="A2:F2"/>
    <mergeCell ref="C3:F3"/>
    <mergeCell ref="C4:F4"/>
    <mergeCell ref="C5:F5"/>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4"/>
  <sheetViews>
    <sheetView topLeftCell="A7" workbookViewId="0">
      <selection activeCell="H18" sqref="H18"/>
    </sheetView>
  </sheetViews>
  <sheetFormatPr defaultRowHeight="15"/>
  <cols>
    <col min="1" max="1" width="5.5703125" customWidth="1"/>
    <col min="2" max="2" width="47.28515625" customWidth="1"/>
    <col min="3" max="3" width="6.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248</v>
      </c>
      <c r="D3" s="255"/>
      <c r="E3" s="255"/>
      <c r="F3" s="256"/>
    </row>
    <row r="4" spans="1:6" ht="29.25" customHeight="1">
      <c r="A4" s="6"/>
      <c r="B4" s="7" t="s">
        <v>8</v>
      </c>
      <c r="C4" s="254" t="s">
        <v>239</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3.7" customHeight="1">
      <c r="A7" s="10"/>
      <c r="B7" s="59"/>
      <c r="C7" s="26"/>
      <c r="D7" s="26"/>
      <c r="E7" s="12"/>
      <c r="F7" s="13"/>
    </row>
    <row r="8" spans="1:6" ht="16.5">
      <c r="A8" s="10">
        <v>1</v>
      </c>
      <c r="B8" s="15" t="s">
        <v>262</v>
      </c>
      <c r="C8" s="16">
        <v>12</v>
      </c>
      <c r="D8" s="16" t="s">
        <v>13</v>
      </c>
      <c r="E8" s="51">
        <v>78000</v>
      </c>
      <c r="F8" s="18">
        <f>C8*E8</f>
        <v>936000</v>
      </c>
    </row>
    <row r="9" spans="1:6" ht="16.5">
      <c r="A9" s="52"/>
      <c r="B9" s="15" t="s">
        <v>242</v>
      </c>
      <c r="C9" s="16"/>
      <c r="D9" s="16"/>
      <c r="E9" s="51"/>
      <c r="F9" s="18"/>
    </row>
    <row r="10" spans="1:6" ht="16.5">
      <c r="A10" s="52"/>
      <c r="B10" s="63" t="s">
        <v>41</v>
      </c>
      <c r="C10" s="16"/>
      <c r="D10" s="16"/>
      <c r="E10" s="51"/>
      <c r="F10" s="18"/>
    </row>
    <row r="11" spans="1:6" ht="16.5">
      <c r="A11" s="52"/>
      <c r="B11" s="63" t="s">
        <v>243</v>
      </c>
      <c r="C11" s="16"/>
      <c r="D11" s="16"/>
      <c r="E11" s="51"/>
      <c r="F11" s="18"/>
    </row>
    <row r="12" spans="1:6" ht="16.5">
      <c r="A12" s="10"/>
      <c r="B12" s="63" t="s">
        <v>244</v>
      </c>
      <c r="C12" s="16"/>
      <c r="D12" s="16"/>
      <c r="E12" s="51"/>
      <c r="F12" s="18"/>
    </row>
    <row r="13" spans="1:6" ht="16.5">
      <c r="A13" s="52"/>
      <c r="B13" s="63" t="s">
        <v>245</v>
      </c>
      <c r="C13" s="16"/>
      <c r="D13" s="16"/>
      <c r="E13" s="51"/>
      <c r="F13" s="18"/>
    </row>
    <row r="14" spans="1:6" ht="16.5">
      <c r="A14" s="10"/>
      <c r="B14" s="62" t="s">
        <v>247</v>
      </c>
      <c r="C14" s="17"/>
      <c r="D14" s="17"/>
      <c r="E14" s="18"/>
      <c r="F14" s="19"/>
    </row>
    <row r="15" spans="1:6" ht="16.5">
      <c r="A15" s="10"/>
      <c r="B15" s="65" t="s">
        <v>263</v>
      </c>
      <c r="C15" s="17"/>
      <c r="D15" s="17"/>
      <c r="E15" s="18"/>
      <c r="F15" s="19"/>
    </row>
    <row r="16" spans="1:6" ht="16.5">
      <c r="A16" s="10">
        <v>2</v>
      </c>
      <c r="B16" s="15" t="s">
        <v>262</v>
      </c>
      <c r="C16" s="16">
        <v>1</v>
      </c>
      <c r="D16" s="16" t="s">
        <v>13</v>
      </c>
      <c r="E16" s="51">
        <v>85000</v>
      </c>
      <c r="F16" s="18">
        <f>C16*E16</f>
        <v>85000</v>
      </c>
    </row>
    <row r="17" spans="1:6" ht="16.5">
      <c r="A17" s="10"/>
      <c r="B17" s="15" t="s">
        <v>246</v>
      </c>
      <c r="C17" s="17"/>
      <c r="D17" s="17"/>
      <c r="E17" s="18"/>
      <c r="F17" s="19"/>
    </row>
    <row r="18" spans="1:6" ht="16.5">
      <c r="A18" s="10"/>
      <c r="B18" s="63" t="s">
        <v>41</v>
      </c>
      <c r="C18" s="17"/>
      <c r="D18" s="17"/>
      <c r="E18" s="18"/>
      <c r="F18" s="19"/>
    </row>
    <row r="19" spans="1:6" ht="16.5">
      <c r="A19" s="10"/>
      <c r="B19" s="63" t="s">
        <v>243</v>
      </c>
      <c r="C19" s="17"/>
      <c r="D19" s="17"/>
      <c r="E19" s="18"/>
      <c r="F19" s="19"/>
    </row>
    <row r="20" spans="1:6" ht="16.5">
      <c r="A20" s="10"/>
      <c r="B20" s="63" t="s">
        <v>244</v>
      </c>
      <c r="C20" s="16"/>
      <c r="D20" s="16"/>
      <c r="E20" s="51"/>
      <c r="F20" s="18"/>
    </row>
    <row r="21" spans="1:6" ht="16.5">
      <c r="A21" s="10"/>
      <c r="B21" s="63" t="s">
        <v>245</v>
      </c>
      <c r="C21" s="17"/>
      <c r="D21" s="17"/>
      <c r="E21" s="18"/>
      <c r="F21" s="19"/>
    </row>
    <row r="22" spans="1:6" ht="16.5">
      <c r="A22" s="10"/>
      <c r="B22" s="62" t="s">
        <v>247</v>
      </c>
      <c r="C22" s="16"/>
      <c r="D22" s="17"/>
      <c r="E22" s="18"/>
      <c r="F22" s="19"/>
    </row>
    <row r="23" spans="1:6" ht="16.5">
      <c r="A23" s="21"/>
      <c r="B23" s="64" t="s">
        <v>263</v>
      </c>
      <c r="C23" s="23"/>
      <c r="D23" s="23"/>
      <c r="E23" s="24"/>
      <c r="F23" s="25"/>
    </row>
    <row r="24" spans="1:6" ht="16.5">
      <c r="A24" s="328" t="s">
        <v>14</v>
      </c>
      <c r="B24" s="329"/>
      <c r="C24" s="329"/>
      <c r="D24" s="329"/>
      <c r="E24" s="330"/>
      <c r="F24" s="27">
        <f>SUM(F7:F23)</f>
        <v>1021000</v>
      </c>
    </row>
    <row r="25" spans="1:6" ht="16.5">
      <c r="A25" s="328" t="s">
        <v>15</v>
      </c>
      <c r="B25" s="329"/>
      <c r="C25" s="329"/>
      <c r="D25" s="329"/>
      <c r="E25" s="330"/>
      <c r="F25" s="27">
        <f>+F24*9%</f>
        <v>91890</v>
      </c>
    </row>
    <row r="26" spans="1:6" ht="16.5">
      <c r="A26" s="328" t="s">
        <v>16</v>
      </c>
      <c r="B26" s="329"/>
      <c r="C26" s="329"/>
      <c r="D26" s="329"/>
      <c r="E26" s="330"/>
      <c r="F26" s="27">
        <f>+F24*9%</f>
        <v>91890</v>
      </c>
    </row>
    <row r="27" spans="1:6" ht="17.45" customHeight="1">
      <c r="A27" s="331" t="s">
        <v>17</v>
      </c>
      <c r="B27" s="332"/>
      <c r="C27" s="332"/>
      <c r="D27" s="332"/>
      <c r="E27" s="333"/>
      <c r="F27" s="28">
        <f>SUM(F24:F26)</f>
        <v>1204780</v>
      </c>
    </row>
    <row r="28" spans="1:6" ht="33" customHeight="1">
      <c r="A28" s="263" t="s">
        <v>264</v>
      </c>
      <c r="B28" s="264"/>
      <c r="C28" s="264"/>
      <c r="D28" s="264"/>
      <c r="E28" s="264"/>
      <c r="F28" s="265"/>
    </row>
    <row r="29" spans="1:6" ht="15" customHeight="1">
      <c r="A29" s="266" t="s">
        <v>18</v>
      </c>
      <c r="B29" s="267"/>
      <c r="C29" s="268" t="s">
        <v>19</v>
      </c>
      <c r="D29" s="269"/>
      <c r="E29" s="269"/>
      <c r="F29" s="270"/>
    </row>
    <row r="30" spans="1:6" ht="15" customHeight="1">
      <c r="A30" s="277" t="s">
        <v>20</v>
      </c>
      <c r="B30" s="278"/>
      <c r="C30" s="279" t="s">
        <v>21</v>
      </c>
      <c r="D30" s="278"/>
      <c r="E30" s="278"/>
      <c r="F30" s="280"/>
    </row>
    <row r="31" spans="1:6" ht="15" customHeight="1">
      <c r="A31" s="277" t="s">
        <v>22</v>
      </c>
      <c r="B31" s="278"/>
      <c r="C31" s="279" t="s">
        <v>23</v>
      </c>
      <c r="D31" s="278"/>
      <c r="E31" s="278"/>
      <c r="F31" s="280"/>
    </row>
    <row r="32" spans="1:6" ht="15" customHeight="1">
      <c r="A32" s="284" t="s">
        <v>24</v>
      </c>
      <c r="B32" s="285"/>
      <c r="C32" s="284" t="s">
        <v>25</v>
      </c>
      <c r="D32" s="285"/>
      <c r="E32" s="285"/>
      <c r="F32" s="286"/>
    </row>
    <row r="33" spans="1:6" ht="27" customHeight="1">
      <c r="A33" s="271" t="s">
        <v>26</v>
      </c>
      <c r="B33" s="272"/>
      <c r="C33" s="272"/>
      <c r="D33" s="272"/>
      <c r="E33" s="272"/>
      <c r="F33" s="273"/>
    </row>
    <row r="34" spans="1:6" ht="26.45" customHeight="1">
      <c r="A34" s="274" t="s">
        <v>27</v>
      </c>
      <c r="B34" s="275"/>
      <c r="C34" s="275"/>
      <c r="D34" s="275"/>
      <c r="E34" s="275"/>
      <c r="F34" s="276"/>
    </row>
  </sheetData>
  <mergeCells count="20">
    <mergeCell ref="A33:F33"/>
    <mergeCell ref="A34:F34"/>
    <mergeCell ref="A30:B30"/>
    <mergeCell ref="C30:F30"/>
    <mergeCell ref="A31:B31"/>
    <mergeCell ref="C31:F31"/>
    <mergeCell ref="A32:B32"/>
    <mergeCell ref="C32:F32"/>
    <mergeCell ref="A25:E25"/>
    <mergeCell ref="A26:E26"/>
    <mergeCell ref="A27:E27"/>
    <mergeCell ref="A28:F28"/>
    <mergeCell ref="A29:B29"/>
    <mergeCell ref="C29:F29"/>
    <mergeCell ref="A24:E24"/>
    <mergeCell ref="B1:F1"/>
    <mergeCell ref="A2:F2"/>
    <mergeCell ref="C3:F3"/>
    <mergeCell ref="C4:F4"/>
    <mergeCell ref="C5:F5"/>
  </mergeCells>
  <pageMargins left="0.7" right="0.7" top="0.75" bottom="0.75" header="0.3" footer="0.3"/>
  <pageSetup orientation="portrait"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1"/>
  <sheetViews>
    <sheetView workbookViewId="0">
      <selection activeCell="J4" sqref="J4"/>
    </sheetView>
  </sheetViews>
  <sheetFormatPr defaultRowHeight="15"/>
  <cols>
    <col min="1" max="1" width="5.5703125" customWidth="1"/>
    <col min="2" max="2" width="46.28515625" customWidth="1"/>
    <col min="3" max="3" width="6.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266</v>
      </c>
      <c r="D3" s="255"/>
      <c r="E3" s="255"/>
      <c r="F3" s="256"/>
    </row>
    <row r="4" spans="1:6" ht="29.25" customHeight="1">
      <c r="A4" s="6"/>
      <c r="B4" s="7" t="s">
        <v>8</v>
      </c>
      <c r="C4" s="254" t="s">
        <v>250</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59"/>
      <c r="C7" s="26"/>
      <c r="D7" s="26"/>
      <c r="E7" s="12"/>
      <c r="F7" s="13"/>
    </row>
    <row r="8" spans="1:6" ht="16.5">
      <c r="A8" s="10">
        <v>1</v>
      </c>
      <c r="B8" s="15" t="s">
        <v>240</v>
      </c>
      <c r="C8" s="16">
        <v>4</v>
      </c>
      <c r="D8" s="16" t="s">
        <v>13</v>
      </c>
      <c r="E8" s="51">
        <v>4500</v>
      </c>
      <c r="F8" s="12">
        <f>C8*E8</f>
        <v>18000</v>
      </c>
    </row>
    <row r="9" spans="1:6" ht="16.5">
      <c r="A9" s="52">
        <v>2</v>
      </c>
      <c r="B9" s="15" t="s">
        <v>241</v>
      </c>
      <c r="C9" s="16">
        <v>2</v>
      </c>
      <c r="D9" s="16" t="s">
        <v>13</v>
      </c>
      <c r="E9" s="51">
        <v>3500</v>
      </c>
      <c r="F9" s="12">
        <f>C9*E9</f>
        <v>7000</v>
      </c>
    </row>
    <row r="10" spans="1:6" ht="16.5">
      <c r="A10" s="52"/>
      <c r="B10" s="60"/>
      <c r="C10" s="16"/>
      <c r="D10" s="16"/>
      <c r="E10" s="51"/>
      <c r="F10" s="12"/>
    </row>
    <row r="11" spans="1:6" ht="16.5">
      <c r="A11" s="52"/>
      <c r="B11" s="60"/>
      <c r="C11" s="16"/>
      <c r="D11" s="16"/>
      <c r="E11" s="51"/>
      <c r="F11" s="12"/>
    </row>
    <row r="12" spans="1:6" ht="16.5">
      <c r="A12" s="10"/>
      <c r="B12" s="60"/>
      <c r="C12" s="16"/>
      <c r="D12" s="16"/>
      <c r="E12" s="51"/>
      <c r="F12" s="12"/>
    </row>
    <row r="13" spans="1:6" ht="16.5">
      <c r="A13" s="52"/>
      <c r="B13" s="60"/>
      <c r="C13" s="16"/>
      <c r="D13" s="16"/>
      <c r="E13" s="51"/>
      <c r="F13" s="12"/>
    </row>
    <row r="14" spans="1:6" ht="16.5">
      <c r="A14" s="10"/>
      <c r="B14" s="44"/>
      <c r="C14" s="3"/>
      <c r="D14" s="3"/>
      <c r="E14" s="12"/>
      <c r="F14" s="13"/>
    </row>
    <row r="15" spans="1:6" ht="16.5">
      <c r="A15" s="10"/>
      <c r="B15" s="44"/>
      <c r="C15" s="3"/>
      <c r="D15" s="3"/>
      <c r="E15" s="12"/>
      <c r="F15" s="13"/>
    </row>
    <row r="16" spans="1:6" ht="16.5">
      <c r="A16" s="10"/>
      <c r="B16" s="60"/>
      <c r="C16" s="16"/>
      <c r="D16" s="16"/>
      <c r="E16" s="51"/>
      <c r="F16" s="12"/>
    </row>
    <row r="17" spans="1:6" ht="16.5">
      <c r="A17" s="10"/>
      <c r="B17" s="60"/>
      <c r="C17" s="3"/>
      <c r="D17" s="3"/>
      <c r="E17" s="12"/>
      <c r="F17" s="13"/>
    </row>
    <row r="18" spans="1:6" ht="16.5">
      <c r="A18" s="10"/>
      <c r="B18" s="20"/>
      <c r="C18" s="26"/>
      <c r="D18" s="3"/>
      <c r="E18" s="12"/>
      <c r="F18" s="13"/>
    </row>
    <row r="19" spans="1:6" ht="16.5">
      <c r="A19" s="21"/>
      <c r="B19" s="22"/>
      <c r="C19" s="23"/>
      <c r="D19" s="23"/>
      <c r="E19" s="24"/>
      <c r="F19" s="25"/>
    </row>
    <row r="20" spans="1:6" ht="16.5">
      <c r="A20" s="328" t="s">
        <v>119</v>
      </c>
      <c r="B20" s="329"/>
      <c r="C20" s="329"/>
      <c r="D20" s="329"/>
      <c r="E20" s="330"/>
      <c r="F20" s="12">
        <v>-500</v>
      </c>
    </row>
    <row r="21" spans="1:6" ht="16.5">
      <c r="A21" s="328" t="s">
        <v>14</v>
      </c>
      <c r="B21" s="329"/>
      <c r="C21" s="329"/>
      <c r="D21" s="329"/>
      <c r="E21" s="330"/>
      <c r="F21" s="27">
        <f>SUM(F7:F20)</f>
        <v>24500</v>
      </c>
    </row>
    <row r="22" spans="1:6" ht="16.5">
      <c r="A22" s="328" t="s">
        <v>15</v>
      </c>
      <c r="B22" s="329"/>
      <c r="C22" s="329"/>
      <c r="D22" s="329"/>
      <c r="E22" s="330"/>
      <c r="F22" s="27">
        <f>+F21*9%</f>
        <v>2205</v>
      </c>
    </row>
    <row r="23" spans="1:6" ht="16.5">
      <c r="A23" s="328" t="s">
        <v>16</v>
      </c>
      <c r="B23" s="329"/>
      <c r="C23" s="329"/>
      <c r="D23" s="329"/>
      <c r="E23" s="330"/>
      <c r="F23" s="27">
        <f>+F21*9%</f>
        <v>2205</v>
      </c>
    </row>
    <row r="24" spans="1:6" ht="17.45" customHeight="1">
      <c r="A24" s="331" t="s">
        <v>17</v>
      </c>
      <c r="B24" s="332"/>
      <c r="C24" s="332"/>
      <c r="D24" s="332"/>
      <c r="E24" s="333"/>
      <c r="F24" s="28">
        <f>SUM(F21:F23)</f>
        <v>28910</v>
      </c>
    </row>
    <row r="25" spans="1:6" ht="33" customHeight="1">
      <c r="A25" s="263" t="s">
        <v>265</v>
      </c>
      <c r="B25" s="264"/>
      <c r="C25" s="264"/>
      <c r="D25" s="264"/>
      <c r="E25" s="264"/>
      <c r="F25" s="265"/>
    </row>
    <row r="26" spans="1:6" ht="15" customHeight="1">
      <c r="A26" s="266" t="s">
        <v>18</v>
      </c>
      <c r="B26" s="267"/>
      <c r="C26" s="268" t="s">
        <v>19</v>
      </c>
      <c r="D26" s="269"/>
      <c r="E26" s="269"/>
      <c r="F26" s="270"/>
    </row>
    <row r="27" spans="1:6" ht="15" customHeight="1">
      <c r="A27" s="277" t="s">
        <v>20</v>
      </c>
      <c r="B27" s="278"/>
      <c r="C27" s="279" t="s">
        <v>21</v>
      </c>
      <c r="D27" s="278"/>
      <c r="E27" s="278"/>
      <c r="F27" s="280"/>
    </row>
    <row r="28" spans="1:6" ht="15" customHeight="1">
      <c r="A28" s="277" t="s">
        <v>22</v>
      </c>
      <c r="B28" s="278"/>
      <c r="C28" s="279" t="s">
        <v>23</v>
      </c>
      <c r="D28" s="278"/>
      <c r="E28" s="278"/>
      <c r="F28" s="280"/>
    </row>
    <row r="29" spans="1:6" ht="15" customHeight="1">
      <c r="A29" s="284" t="s">
        <v>24</v>
      </c>
      <c r="B29" s="285"/>
      <c r="C29" s="284" t="s">
        <v>25</v>
      </c>
      <c r="D29" s="285"/>
      <c r="E29" s="285"/>
      <c r="F29" s="286"/>
    </row>
    <row r="30" spans="1:6" ht="27" customHeight="1">
      <c r="A30" s="271" t="s">
        <v>26</v>
      </c>
      <c r="B30" s="272"/>
      <c r="C30" s="272"/>
      <c r="D30" s="272"/>
      <c r="E30" s="272"/>
      <c r="F30" s="273"/>
    </row>
    <row r="31" spans="1:6" ht="26.45" customHeight="1">
      <c r="A31" s="274" t="s">
        <v>27</v>
      </c>
      <c r="B31" s="275"/>
      <c r="C31" s="275"/>
      <c r="D31" s="275"/>
      <c r="E31" s="275"/>
      <c r="F31" s="276"/>
    </row>
  </sheetData>
  <mergeCells count="21">
    <mergeCell ref="A21:E21"/>
    <mergeCell ref="B1:F1"/>
    <mergeCell ref="A2:F2"/>
    <mergeCell ref="C3:F3"/>
    <mergeCell ref="C4:F4"/>
    <mergeCell ref="C5:F5"/>
    <mergeCell ref="A20:E20"/>
    <mergeCell ref="A22:E22"/>
    <mergeCell ref="A23:E23"/>
    <mergeCell ref="A24:E24"/>
    <mergeCell ref="A25:F25"/>
    <mergeCell ref="A26:B26"/>
    <mergeCell ref="C26:F26"/>
    <mergeCell ref="A30:F30"/>
    <mergeCell ref="A31:F31"/>
    <mergeCell ref="A27:B27"/>
    <mergeCell ref="C27:F27"/>
    <mergeCell ref="A28:B28"/>
    <mergeCell ref="C28:F28"/>
    <mergeCell ref="A29:B29"/>
    <mergeCell ref="C29:F29"/>
  </mergeCells>
  <pageMargins left="0.7" right="0.7" top="0.75" bottom="0.75" header="0.3" footer="0.3"/>
  <pageSetup orientation="portrait"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29"/>
  <sheetViews>
    <sheetView workbookViewId="0">
      <selection activeCell="J4" sqref="J4"/>
    </sheetView>
  </sheetViews>
  <sheetFormatPr defaultRowHeight="15"/>
  <cols>
    <col min="1" max="1" width="5.5703125" customWidth="1"/>
    <col min="2" max="2" width="45.42578125" customWidth="1"/>
    <col min="3" max="3" width="7.1406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45" customHeight="1">
      <c r="A3" s="4" t="s">
        <v>7</v>
      </c>
      <c r="B3" s="326" t="s">
        <v>156</v>
      </c>
      <c r="C3" s="254" t="s">
        <v>236</v>
      </c>
      <c r="D3" s="255"/>
      <c r="E3" s="255"/>
      <c r="F3" s="256"/>
    </row>
    <row r="4" spans="1:6" ht="17.45" customHeight="1">
      <c r="A4" s="48"/>
      <c r="B4" s="327"/>
      <c r="C4" s="254" t="s">
        <v>237</v>
      </c>
      <c r="D4" s="255"/>
      <c r="E4" s="255"/>
      <c r="F4" s="256"/>
    </row>
    <row r="5" spans="1:6" ht="15.75" customHeight="1">
      <c r="A5" s="6"/>
      <c r="B5" s="7" t="s">
        <v>157</v>
      </c>
      <c r="C5" s="257" t="s">
        <v>9</v>
      </c>
      <c r="D5" s="258"/>
      <c r="E5" s="258"/>
      <c r="F5" s="259"/>
    </row>
    <row r="6" spans="1:6" ht="16.5" customHeight="1">
      <c r="A6" s="8"/>
      <c r="B6" s="2"/>
      <c r="C6" s="257"/>
      <c r="D6" s="258"/>
      <c r="E6" s="258"/>
      <c r="F6" s="259"/>
    </row>
    <row r="7" spans="1:6" ht="16.5">
      <c r="A7" s="9" t="s">
        <v>3</v>
      </c>
      <c r="B7" s="9" t="s">
        <v>4</v>
      </c>
      <c r="C7" s="9" t="s">
        <v>5</v>
      </c>
      <c r="D7" s="9" t="s">
        <v>10</v>
      </c>
      <c r="E7" s="9" t="s">
        <v>11</v>
      </c>
      <c r="F7" s="9" t="s">
        <v>12</v>
      </c>
    </row>
    <row r="8" spans="1:6" ht="16.5">
      <c r="A8" s="10"/>
      <c r="B8" s="11"/>
      <c r="C8" s="26"/>
      <c r="D8" s="26"/>
      <c r="E8" s="12"/>
      <c r="F8" s="13"/>
    </row>
    <row r="9" spans="1:6" ht="16.5">
      <c r="A9" s="10">
        <v>1</v>
      </c>
      <c r="B9" s="46" t="s">
        <v>234</v>
      </c>
      <c r="C9" s="26">
        <v>1</v>
      </c>
      <c r="D9" s="26" t="s">
        <v>60</v>
      </c>
      <c r="E9" s="12">
        <v>78000</v>
      </c>
      <c r="F9" s="13">
        <f>+C9*E9</f>
        <v>78000</v>
      </c>
    </row>
    <row r="10" spans="1:6" ht="16.5">
      <c r="A10" s="10"/>
      <c r="B10" s="46" t="s">
        <v>235</v>
      </c>
      <c r="C10" s="26"/>
      <c r="D10" s="26"/>
      <c r="E10" s="12"/>
      <c r="F10" s="13"/>
    </row>
    <row r="11" spans="1:6" ht="16.5">
      <c r="A11" s="14"/>
      <c r="B11" s="20"/>
      <c r="C11" s="26"/>
      <c r="D11" s="17"/>
      <c r="E11" s="12"/>
      <c r="F11" s="13"/>
    </row>
    <row r="12" spans="1:6" ht="16.5">
      <c r="A12" s="14"/>
      <c r="B12" s="20"/>
      <c r="C12" s="26"/>
      <c r="D12" s="17"/>
      <c r="E12" s="12"/>
      <c r="F12" s="13"/>
    </row>
    <row r="13" spans="1:6" ht="16.5">
      <c r="A13" s="10"/>
      <c r="B13" s="20"/>
      <c r="C13" s="26"/>
      <c r="D13" s="3"/>
      <c r="E13" s="12"/>
      <c r="F13" s="13"/>
    </row>
    <row r="14" spans="1:6" ht="16.5">
      <c r="A14" s="10"/>
      <c r="B14" s="44"/>
      <c r="C14" s="3"/>
      <c r="D14" s="3"/>
      <c r="E14" s="12"/>
      <c r="F14" s="13"/>
    </row>
    <row r="15" spans="1:6" ht="16.5">
      <c r="A15" s="10"/>
      <c r="B15" s="44"/>
      <c r="C15" s="3"/>
      <c r="D15" s="3"/>
      <c r="E15" s="12"/>
      <c r="F15" s="13"/>
    </row>
    <row r="16" spans="1:6" ht="16.5">
      <c r="A16" s="10"/>
      <c r="B16" s="20"/>
      <c r="C16" s="3"/>
      <c r="D16" s="3"/>
      <c r="E16" s="12"/>
      <c r="F16" s="13"/>
    </row>
    <row r="17" spans="1:15" ht="16.5">
      <c r="A17" s="21"/>
      <c r="B17" s="34"/>
      <c r="C17" s="35"/>
      <c r="D17" s="35"/>
      <c r="E17" s="25"/>
      <c r="F17" s="36"/>
    </row>
    <row r="18" spans="1:15" ht="16.5">
      <c r="A18" s="328" t="s">
        <v>14</v>
      </c>
      <c r="B18" s="329"/>
      <c r="C18" s="329"/>
      <c r="D18" s="329"/>
      <c r="E18" s="330"/>
      <c r="F18" s="27">
        <f>SUM(F8:F17)</f>
        <v>78000</v>
      </c>
    </row>
    <row r="19" spans="1:15" ht="16.5">
      <c r="A19" s="328" t="s">
        <v>15</v>
      </c>
      <c r="B19" s="329"/>
      <c r="C19" s="329"/>
      <c r="D19" s="329"/>
      <c r="E19" s="330"/>
      <c r="F19" s="27">
        <f>+F18*9%</f>
        <v>7020</v>
      </c>
    </row>
    <row r="20" spans="1:15" ht="16.5">
      <c r="A20" s="328" t="s">
        <v>16</v>
      </c>
      <c r="B20" s="329"/>
      <c r="C20" s="329"/>
      <c r="D20" s="329"/>
      <c r="E20" s="330"/>
      <c r="F20" s="27">
        <f>+F18*9%</f>
        <v>7020</v>
      </c>
    </row>
    <row r="21" spans="1:15" ht="17.45" customHeight="1">
      <c r="A21" s="331" t="s">
        <v>17</v>
      </c>
      <c r="B21" s="332"/>
      <c r="C21" s="332"/>
      <c r="D21" s="332"/>
      <c r="E21" s="333"/>
      <c r="F21" s="28">
        <f>SUM(F18:F20)</f>
        <v>92040</v>
      </c>
    </row>
    <row r="22" spans="1:15" ht="33" customHeight="1">
      <c r="A22" s="263" t="s">
        <v>238</v>
      </c>
      <c r="B22" s="264"/>
      <c r="C22" s="264"/>
      <c r="D22" s="264"/>
      <c r="E22" s="264"/>
      <c r="F22" s="265"/>
    </row>
    <row r="23" spans="1:15" ht="15" customHeight="1">
      <c r="A23" s="266" t="s">
        <v>18</v>
      </c>
      <c r="B23" s="267"/>
      <c r="C23" s="268" t="s">
        <v>19</v>
      </c>
      <c r="D23" s="269"/>
      <c r="E23" s="269"/>
      <c r="F23" s="270"/>
      <c r="L23" s="278"/>
      <c r="M23" s="278"/>
      <c r="N23" s="278"/>
      <c r="O23" s="278"/>
    </row>
    <row r="24" spans="1:15" ht="15" customHeight="1">
      <c r="A24" s="279" t="s">
        <v>159</v>
      </c>
      <c r="B24" s="278"/>
      <c r="C24" s="279" t="s">
        <v>21</v>
      </c>
      <c r="D24" s="278"/>
      <c r="E24" s="278"/>
      <c r="F24" s="280"/>
    </row>
    <row r="25" spans="1:15" ht="15" customHeight="1">
      <c r="A25" s="279" t="s">
        <v>160</v>
      </c>
      <c r="B25" s="278"/>
      <c r="C25" s="279" t="s">
        <v>23</v>
      </c>
      <c r="D25" s="278"/>
      <c r="E25" s="278"/>
      <c r="F25" s="280"/>
    </row>
    <row r="26" spans="1:15" ht="15" customHeight="1">
      <c r="A26" s="49" t="s">
        <v>162</v>
      </c>
      <c r="B26" s="47"/>
      <c r="C26" s="279" t="s">
        <v>163</v>
      </c>
      <c r="D26" s="278"/>
      <c r="E26" s="278"/>
      <c r="F26" s="280"/>
    </row>
    <row r="27" spans="1:15" ht="15" customHeight="1">
      <c r="A27" s="284" t="s">
        <v>161</v>
      </c>
      <c r="B27" s="285"/>
      <c r="C27" s="279" t="s">
        <v>164</v>
      </c>
      <c r="D27" s="278"/>
      <c r="E27" s="278"/>
      <c r="F27" s="280"/>
    </row>
    <row r="28" spans="1:15" ht="27" customHeight="1">
      <c r="A28" s="271" t="s">
        <v>26</v>
      </c>
      <c r="B28" s="272"/>
      <c r="C28" s="272"/>
      <c r="D28" s="272"/>
      <c r="E28" s="272"/>
      <c r="F28" s="273"/>
    </row>
    <row r="29" spans="1:15" ht="26.45" customHeight="1">
      <c r="A29" s="274" t="s">
        <v>27</v>
      </c>
      <c r="B29" s="275"/>
      <c r="C29" s="275"/>
      <c r="D29" s="275"/>
      <c r="E29" s="275"/>
      <c r="F29" s="276"/>
    </row>
  </sheetData>
  <mergeCells count="24">
    <mergeCell ref="A22:F22"/>
    <mergeCell ref="A23:B23"/>
    <mergeCell ref="C23:F23"/>
    <mergeCell ref="C5:F5"/>
    <mergeCell ref="B1:F1"/>
    <mergeCell ref="A2:F2"/>
    <mergeCell ref="B3:B4"/>
    <mergeCell ref="C3:F3"/>
    <mergeCell ref="C4:F4"/>
    <mergeCell ref="C6:F6"/>
    <mergeCell ref="A18:E18"/>
    <mergeCell ref="A19:E19"/>
    <mergeCell ref="A20:E20"/>
    <mergeCell ref="A21:E21"/>
    <mergeCell ref="A28:F28"/>
    <mergeCell ref="A29:F29"/>
    <mergeCell ref="L23:O23"/>
    <mergeCell ref="A24:B24"/>
    <mergeCell ref="C24:F24"/>
    <mergeCell ref="C26:F26"/>
    <mergeCell ref="A27:B27"/>
    <mergeCell ref="C27:F27"/>
    <mergeCell ref="A25:B25"/>
    <mergeCell ref="C25:F25"/>
  </mergeCells>
  <pageMargins left="0.7" right="0.7" top="0.75" bottom="0.75" header="0.3" footer="0.3"/>
  <pageSetup orientation="portrait"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30"/>
  <sheetViews>
    <sheetView workbookViewId="0">
      <selection activeCell="J8" sqref="J8"/>
    </sheetView>
  </sheetViews>
  <sheetFormatPr defaultRowHeight="15"/>
  <cols>
    <col min="1" max="1" width="5.5703125" customWidth="1"/>
    <col min="2" max="2" width="46.28515625" customWidth="1"/>
    <col min="3" max="3" width="6.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233</v>
      </c>
      <c r="D3" s="255"/>
      <c r="E3" s="255"/>
      <c r="F3" s="256"/>
    </row>
    <row r="4" spans="1:6" ht="29.25" customHeight="1">
      <c r="A4" s="6"/>
      <c r="B4" s="7" t="s">
        <v>8</v>
      </c>
      <c r="C4" s="254" t="s">
        <v>232</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59" t="s">
        <v>226</v>
      </c>
      <c r="C7" s="26"/>
      <c r="D7" s="26"/>
      <c r="E7" s="12"/>
      <c r="F7" s="13"/>
    </row>
    <row r="8" spans="1:6" ht="16.5">
      <c r="A8" s="10">
        <v>1</v>
      </c>
      <c r="B8" s="50" t="s">
        <v>227</v>
      </c>
      <c r="C8" s="16">
        <v>1</v>
      </c>
      <c r="D8" s="16" t="s">
        <v>13</v>
      </c>
      <c r="E8" s="51">
        <v>22500</v>
      </c>
      <c r="F8" s="51">
        <v>22500</v>
      </c>
    </row>
    <row r="9" spans="1:6" ht="16.5">
      <c r="A9" s="52"/>
      <c r="B9" s="60" t="s">
        <v>41</v>
      </c>
      <c r="C9" s="16"/>
      <c r="D9" s="16"/>
      <c r="E9" s="51"/>
      <c r="F9" s="12"/>
    </row>
    <row r="10" spans="1:6" ht="16.5">
      <c r="A10" s="52"/>
      <c r="B10" s="60" t="s">
        <v>228</v>
      </c>
      <c r="C10" s="16"/>
      <c r="D10" s="16"/>
      <c r="E10" s="51"/>
      <c r="F10" s="12"/>
    </row>
    <row r="11" spans="1:6" ht="16.5">
      <c r="A11" s="52"/>
      <c r="B11" s="60" t="s">
        <v>225</v>
      </c>
      <c r="C11" s="16"/>
      <c r="D11" s="16"/>
      <c r="E11" s="51"/>
      <c r="F11" s="12"/>
    </row>
    <row r="12" spans="1:6" ht="16.5">
      <c r="A12" s="10"/>
      <c r="B12" s="60" t="s">
        <v>230</v>
      </c>
      <c r="C12" s="16"/>
      <c r="D12" s="16"/>
      <c r="E12" s="51"/>
      <c r="F12" s="12"/>
    </row>
    <row r="13" spans="1:6" ht="16.5">
      <c r="A13" s="52"/>
      <c r="B13" s="60" t="s">
        <v>229</v>
      </c>
      <c r="C13" s="16"/>
      <c r="D13" s="16"/>
      <c r="E13" s="51"/>
      <c r="F13" s="12"/>
    </row>
    <row r="14" spans="1:6" ht="16.5">
      <c r="A14" s="10"/>
      <c r="B14" s="44"/>
      <c r="C14" s="3"/>
      <c r="D14" s="3"/>
      <c r="E14" s="12"/>
      <c r="F14" s="13"/>
    </row>
    <row r="15" spans="1:6" ht="16.5">
      <c r="A15" s="10"/>
      <c r="B15" s="44"/>
      <c r="C15" s="3"/>
      <c r="D15" s="3"/>
      <c r="E15" s="12"/>
      <c r="F15" s="13"/>
    </row>
    <row r="16" spans="1:6" ht="16.5">
      <c r="A16" s="10"/>
      <c r="B16" s="60"/>
      <c r="C16" s="16"/>
      <c r="D16" s="16"/>
      <c r="E16" s="51"/>
      <c r="F16" s="12"/>
    </row>
    <row r="17" spans="1:6" ht="16.5">
      <c r="A17" s="10"/>
      <c r="B17" s="60"/>
      <c r="C17" s="3"/>
      <c r="D17" s="3"/>
      <c r="E17" s="12"/>
      <c r="F17" s="13"/>
    </row>
    <row r="18" spans="1:6" ht="16.5">
      <c r="A18" s="10"/>
      <c r="B18" s="20"/>
      <c r="C18" s="26"/>
      <c r="D18" s="3"/>
      <c r="E18" s="12"/>
      <c r="F18" s="13"/>
    </row>
    <row r="19" spans="1:6" ht="16.5">
      <c r="A19" s="21"/>
      <c r="B19" s="22"/>
      <c r="C19" s="23"/>
      <c r="D19" s="23"/>
      <c r="E19" s="24"/>
      <c r="F19" s="25"/>
    </row>
    <row r="20" spans="1:6" ht="16.5">
      <c r="A20" s="328" t="s">
        <v>14</v>
      </c>
      <c r="B20" s="329"/>
      <c r="C20" s="329"/>
      <c r="D20" s="329"/>
      <c r="E20" s="330"/>
      <c r="F20" s="27">
        <f>SUM(F7:F19)</f>
        <v>22500</v>
      </c>
    </row>
    <row r="21" spans="1:6" ht="16.5">
      <c r="A21" s="328" t="s">
        <v>15</v>
      </c>
      <c r="B21" s="329"/>
      <c r="C21" s="329"/>
      <c r="D21" s="329"/>
      <c r="E21" s="330"/>
      <c r="F21" s="27">
        <f>+F20*9%</f>
        <v>2025</v>
      </c>
    </row>
    <row r="22" spans="1:6" ht="16.5">
      <c r="A22" s="328" t="s">
        <v>16</v>
      </c>
      <c r="B22" s="329"/>
      <c r="C22" s="329"/>
      <c r="D22" s="329"/>
      <c r="E22" s="330"/>
      <c r="F22" s="27">
        <f>+F20*9%</f>
        <v>2025</v>
      </c>
    </row>
    <row r="23" spans="1:6" ht="17.45" customHeight="1">
      <c r="A23" s="331" t="s">
        <v>17</v>
      </c>
      <c r="B23" s="332"/>
      <c r="C23" s="332"/>
      <c r="D23" s="332"/>
      <c r="E23" s="333"/>
      <c r="F23" s="28">
        <f>SUM(F20:F22)</f>
        <v>26550</v>
      </c>
    </row>
    <row r="24" spans="1:6" ht="33" customHeight="1">
      <c r="A24" s="263" t="s">
        <v>231</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1:E21"/>
    <mergeCell ref="A22:E22"/>
    <mergeCell ref="A23:E23"/>
    <mergeCell ref="A24:F24"/>
    <mergeCell ref="A25:B25"/>
    <mergeCell ref="C25:F25"/>
    <mergeCell ref="A20:E20"/>
    <mergeCell ref="B1:F1"/>
    <mergeCell ref="A2:F2"/>
    <mergeCell ref="C3:F3"/>
    <mergeCell ref="C4:F4"/>
    <mergeCell ref="C5:F5"/>
  </mergeCells>
  <pageMargins left="0.7" right="0.7" top="0.75" bottom="0.75" header="0.3" footer="0.3"/>
  <pageSetup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33"/>
  <sheetViews>
    <sheetView topLeftCell="A7" workbookViewId="0">
      <selection activeCell="F15" sqref="F15"/>
    </sheetView>
  </sheetViews>
  <sheetFormatPr defaultRowHeight="15"/>
  <cols>
    <col min="1" max="1" width="5.5703125" customWidth="1"/>
    <col min="2" max="2" width="46.28515625" customWidth="1"/>
    <col min="3" max="3" width="8.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213</v>
      </c>
      <c r="D3" s="255"/>
      <c r="E3" s="255"/>
      <c r="F3" s="256"/>
    </row>
    <row r="4" spans="1:6" ht="29.25" customHeight="1">
      <c r="A4" s="6"/>
      <c r="B4" s="7" t="s">
        <v>8</v>
      </c>
      <c r="C4" s="254" t="s">
        <v>208</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11" t="s">
        <v>224</v>
      </c>
      <c r="C7" s="26"/>
      <c r="D7" s="26"/>
      <c r="E7" s="12"/>
      <c r="F7" s="13"/>
    </row>
    <row r="8" spans="1:6" ht="16.5">
      <c r="A8" s="10">
        <v>1</v>
      </c>
      <c r="B8" s="50" t="s">
        <v>214</v>
      </c>
      <c r="C8" s="16">
        <v>1</v>
      </c>
      <c r="D8" s="16" t="s">
        <v>13</v>
      </c>
      <c r="E8" s="51">
        <v>69500</v>
      </c>
      <c r="F8" s="12">
        <f>C8*E8</f>
        <v>69500</v>
      </c>
    </row>
    <row r="9" spans="1:6" ht="16.5">
      <c r="A9" s="52"/>
      <c r="B9" s="50" t="s">
        <v>215</v>
      </c>
      <c r="C9" s="16"/>
      <c r="D9" s="16"/>
      <c r="E9" s="51"/>
      <c r="F9" s="12"/>
    </row>
    <row r="10" spans="1:6" ht="16.5">
      <c r="A10" s="52"/>
      <c r="B10" s="50" t="s">
        <v>216</v>
      </c>
      <c r="C10" s="16"/>
      <c r="D10" s="16"/>
      <c r="E10" s="51"/>
      <c r="F10" s="12"/>
    </row>
    <row r="11" spans="1:6" ht="16.5">
      <c r="A11" s="10"/>
      <c r="B11" s="50" t="s">
        <v>217</v>
      </c>
      <c r="C11" s="16"/>
      <c r="D11" s="16"/>
      <c r="E11" s="51"/>
      <c r="F11" s="12"/>
    </row>
    <row r="12" spans="1:6" ht="16.5">
      <c r="A12" s="52"/>
      <c r="B12" s="50" t="s">
        <v>218</v>
      </c>
      <c r="C12" s="16"/>
      <c r="D12" s="16"/>
      <c r="E12" s="51"/>
      <c r="F12" s="12"/>
    </row>
    <row r="13" spans="1:6" ht="16.5">
      <c r="A13" s="10"/>
      <c r="B13" s="44" t="s">
        <v>219</v>
      </c>
      <c r="C13" s="3"/>
      <c r="D13" s="3"/>
      <c r="E13" s="12"/>
      <c r="F13" s="13"/>
    </row>
    <row r="14" spans="1:6" ht="16.5">
      <c r="A14" s="10"/>
      <c r="B14" s="44"/>
      <c r="C14" s="3"/>
      <c r="D14" s="3"/>
      <c r="E14" s="12"/>
      <c r="F14" s="13"/>
    </row>
    <row r="15" spans="1:6" ht="16.5">
      <c r="A15" s="10">
        <v>2</v>
      </c>
      <c r="B15" s="44" t="s">
        <v>220</v>
      </c>
      <c r="C15" s="16">
        <v>1</v>
      </c>
      <c r="D15" s="16" t="s">
        <v>13</v>
      </c>
      <c r="E15" s="51">
        <v>25500</v>
      </c>
      <c r="F15" s="12">
        <f>C15*E15</f>
        <v>25500</v>
      </c>
    </row>
    <row r="16" spans="1:6" ht="16.5">
      <c r="A16" s="10"/>
      <c r="B16" s="44" t="s">
        <v>221</v>
      </c>
      <c r="C16" s="3"/>
      <c r="D16" s="3"/>
      <c r="E16" s="12"/>
      <c r="F16" s="13"/>
    </row>
    <row r="17" spans="1:6" ht="16.5">
      <c r="A17" s="10"/>
      <c r="B17" s="44" t="s">
        <v>222</v>
      </c>
      <c r="C17" s="3"/>
      <c r="D17" s="3"/>
      <c r="E17" s="12"/>
      <c r="F17" s="13"/>
    </row>
    <row r="18" spans="1:6" ht="16.5">
      <c r="A18" s="10"/>
      <c r="B18" s="44" t="s">
        <v>217</v>
      </c>
      <c r="C18" s="3"/>
      <c r="D18" s="3"/>
      <c r="E18" s="12"/>
      <c r="F18" s="13"/>
    </row>
    <row r="19" spans="1:6" ht="16.5">
      <c r="A19" s="10"/>
      <c r="B19" s="44" t="s">
        <v>218</v>
      </c>
      <c r="C19" s="3"/>
      <c r="D19" s="3"/>
      <c r="E19" s="12"/>
      <c r="F19" s="13"/>
    </row>
    <row r="20" spans="1:6" ht="16.5">
      <c r="A20" s="10"/>
      <c r="B20" s="44" t="s">
        <v>219</v>
      </c>
      <c r="C20" s="3"/>
      <c r="D20" s="3"/>
      <c r="E20" s="12"/>
      <c r="F20" s="13"/>
    </row>
    <row r="21" spans="1:6" ht="16.5">
      <c r="A21" s="10"/>
      <c r="B21" s="20"/>
      <c r="C21" s="26"/>
      <c r="D21" s="3"/>
      <c r="E21" s="12"/>
      <c r="F21" s="13"/>
    </row>
    <row r="22" spans="1:6" ht="16.5">
      <c r="A22" s="21"/>
      <c r="B22" s="22"/>
      <c r="C22" s="23"/>
      <c r="D22" s="23"/>
      <c r="E22" s="24"/>
      <c r="F22" s="25"/>
    </row>
    <row r="23" spans="1:6" ht="16.5">
      <c r="A23" s="328" t="s">
        <v>14</v>
      </c>
      <c r="B23" s="329"/>
      <c r="C23" s="329"/>
      <c r="D23" s="329"/>
      <c r="E23" s="330"/>
      <c r="F23" s="27">
        <f>SUM(F7:F22)</f>
        <v>95000</v>
      </c>
    </row>
    <row r="24" spans="1:6" ht="16.5">
      <c r="A24" s="328" t="s">
        <v>15</v>
      </c>
      <c r="B24" s="329"/>
      <c r="C24" s="329"/>
      <c r="D24" s="329"/>
      <c r="E24" s="330"/>
      <c r="F24" s="27">
        <f>+F23*9%</f>
        <v>8550</v>
      </c>
    </row>
    <row r="25" spans="1:6" ht="16.5">
      <c r="A25" s="328" t="s">
        <v>16</v>
      </c>
      <c r="B25" s="329"/>
      <c r="C25" s="329"/>
      <c r="D25" s="329"/>
      <c r="E25" s="330"/>
      <c r="F25" s="27">
        <f>+F23*9%</f>
        <v>8550</v>
      </c>
    </row>
    <row r="26" spans="1:6" ht="17.45" customHeight="1">
      <c r="A26" s="331" t="s">
        <v>17</v>
      </c>
      <c r="B26" s="332"/>
      <c r="C26" s="332"/>
      <c r="D26" s="332"/>
      <c r="E26" s="333"/>
      <c r="F26" s="28">
        <f>SUM(F23:F25)</f>
        <v>112100</v>
      </c>
    </row>
    <row r="27" spans="1:6" ht="33" customHeight="1">
      <c r="A27" s="263" t="s">
        <v>223</v>
      </c>
      <c r="B27" s="264"/>
      <c r="C27" s="264"/>
      <c r="D27" s="264"/>
      <c r="E27" s="264"/>
      <c r="F27" s="265"/>
    </row>
    <row r="28" spans="1:6" ht="15" customHeight="1">
      <c r="A28" s="266" t="s">
        <v>18</v>
      </c>
      <c r="B28" s="267"/>
      <c r="C28" s="268" t="s">
        <v>19</v>
      </c>
      <c r="D28" s="269"/>
      <c r="E28" s="269"/>
      <c r="F28" s="270"/>
    </row>
    <row r="29" spans="1:6" ht="15" customHeight="1">
      <c r="A29" s="277" t="s">
        <v>20</v>
      </c>
      <c r="B29" s="278"/>
      <c r="C29" s="279" t="s">
        <v>21</v>
      </c>
      <c r="D29" s="278"/>
      <c r="E29" s="278"/>
      <c r="F29" s="280"/>
    </row>
    <row r="30" spans="1:6" ht="15" customHeight="1">
      <c r="A30" s="277" t="s">
        <v>22</v>
      </c>
      <c r="B30" s="278"/>
      <c r="C30" s="279" t="s">
        <v>23</v>
      </c>
      <c r="D30" s="278"/>
      <c r="E30" s="278"/>
      <c r="F30" s="280"/>
    </row>
    <row r="31" spans="1:6" ht="15" customHeight="1">
      <c r="A31" s="284" t="s">
        <v>24</v>
      </c>
      <c r="B31" s="285"/>
      <c r="C31" s="284" t="s">
        <v>25</v>
      </c>
      <c r="D31" s="285"/>
      <c r="E31" s="285"/>
      <c r="F31" s="286"/>
    </row>
    <row r="32" spans="1:6" ht="27" customHeight="1">
      <c r="A32" s="271" t="s">
        <v>26</v>
      </c>
      <c r="B32" s="272"/>
      <c r="C32" s="272"/>
      <c r="D32" s="272"/>
      <c r="E32" s="272"/>
      <c r="F32" s="273"/>
    </row>
    <row r="33" spans="1:6" ht="26.45" customHeight="1">
      <c r="A33" s="274" t="s">
        <v>27</v>
      </c>
      <c r="B33" s="275"/>
      <c r="C33" s="275"/>
      <c r="D33" s="275"/>
      <c r="E33" s="275"/>
      <c r="F33" s="276"/>
    </row>
  </sheetData>
  <mergeCells count="20">
    <mergeCell ref="A23:E23"/>
    <mergeCell ref="B1:F1"/>
    <mergeCell ref="A2:F2"/>
    <mergeCell ref="C3:F3"/>
    <mergeCell ref="C4:F4"/>
    <mergeCell ref="C5:F5"/>
    <mergeCell ref="A24:E24"/>
    <mergeCell ref="A25:E25"/>
    <mergeCell ref="A26:E26"/>
    <mergeCell ref="A27:F27"/>
    <mergeCell ref="A28:B28"/>
    <mergeCell ref="C28:F28"/>
    <mergeCell ref="A32:F32"/>
    <mergeCell ref="A33:F33"/>
    <mergeCell ref="A29:B29"/>
    <mergeCell ref="C29:F29"/>
    <mergeCell ref="A30:B30"/>
    <mergeCell ref="C30:F30"/>
    <mergeCell ref="A31:B31"/>
    <mergeCell ref="C31:F31"/>
  </mergeCells>
  <pageMargins left="0.7" right="0.7" top="0.75" bottom="0.75" header="0.3" footer="0.3"/>
  <pageSetup orientation="portrait"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9"/>
  <sheetViews>
    <sheetView workbookViewId="0">
      <selection activeCell="H8" sqref="H8"/>
    </sheetView>
  </sheetViews>
  <sheetFormatPr defaultRowHeight="15"/>
  <cols>
    <col min="1" max="1" width="5.5703125" customWidth="1"/>
    <col min="2" max="2" width="46.28515625" customWidth="1"/>
    <col min="3" max="3" width="8.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207</v>
      </c>
      <c r="D3" s="255"/>
      <c r="E3" s="255"/>
      <c r="F3" s="256"/>
    </row>
    <row r="4" spans="1:6" ht="29.25" customHeight="1">
      <c r="A4" s="6"/>
      <c r="B4" s="7" t="s">
        <v>8</v>
      </c>
      <c r="C4" s="254" t="s">
        <v>208</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11"/>
      <c r="C7" s="26"/>
      <c r="D7" s="26"/>
      <c r="E7" s="12"/>
      <c r="F7" s="13"/>
    </row>
    <row r="8" spans="1:6" ht="16.5">
      <c r="A8" s="10">
        <v>1</v>
      </c>
      <c r="B8" s="50" t="s">
        <v>209</v>
      </c>
      <c r="C8" s="16">
        <v>1</v>
      </c>
      <c r="D8" s="16" t="s">
        <v>13</v>
      </c>
      <c r="E8" s="51">
        <v>6100</v>
      </c>
      <c r="F8" s="12">
        <f>C8*E8</f>
        <v>6100</v>
      </c>
    </row>
    <row r="9" spans="1:6" ht="16.5">
      <c r="A9" s="52">
        <v>2</v>
      </c>
      <c r="B9" s="50" t="s">
        <v>211</v>
      </c>
      <c r="C9" s="16">
        <v>1</v>
      </c>
      <c r="D9" s="16" t="s">
        <v>13</v>
      </c>
      <c r="E9" s="51">
        <v>2000</v>
      </c>
      <c r="F9" s="12">
        <f>C9*E9</f>
        <v>2000</v>
      </c>
    </row>
    <row r="10" spans="1:6" ht="16.5">
      <c r="A10" s="52">
        <v>3</v>
      </c>
      <c r="B10" s="50" t="s">
        <v>210</v>
      </c>
      <c r="C10" s="16">
        <v>1</v>
      </c>
      <c r="D10" s="16" t="s">
        <v>13</v>
      </c>
      <c r="E10" s="51">
        <v>7800</v>
      </c>
      <c r="F10" s="12">
        <f>C10*E10</f>
        <v>7800</v>
      </c>
    </row>
    <row r="11" spans="1:6" ht="16.5">
      <c r="A11" s="10"/>
      <c r="B11" s="50"/>
      <c r="C11" s="16"/>
      <c r="D11" s="16"/>
      <c r="E11" s="51"/>
      <c r="F11" s="12"/>
    </row>
    <row r="12" spans="1:6" ht="16.5">
      <c r="A12" s="52"/>
      <c r="B12" s="50"/>
      <c r="C12" s="16"/>
      <c r="D12" s="16"/>
      <c r="E12" s="51"/>
      <c r="F12" s="12"/>
    </row>
    <row r="13" spans="1:6" ht="16.5">
      <c r="A13" s="10"/>
      <c r="B13" s="44"/>
      <c r="C13" s="3"/>
      <c r="D13" s="3"/>
      <c r="E13" s="12"/>
      <c r="F13" s="13"/>
    </row>
    <row r="14" spans="1:6" ht="16.5">
      <c r="A14" s="10"/>
      <c r="B14" s="44"/>
      <c r="C14" s="3"/>
      <c r="D14" s="3"/>
      <c r="E14" s="12"/>
      <c r="F14" s="13"/>
    </row>
    <row r="15" spans="1:6" ht="16.5">
      <c r="A15" s="10"/>
      <c r="B15" s="44"/>
      <c r="C15" s="3"/>
      <c r="D15" s="3"/>
      <c r="E15" s="12"/>
      <c r="F15" s="13"/>
    </row>
    <row r="16" spans="1:6" ht="16.5">
      <c r="A16" s="10"/>
      <c r="B16" s="44"/>
      <c r="C16" s="3"/>
      <c r="D16" s="3"/>
      <c r="E16" s="12"/>
      <c r="F16" s="13"/>
    </row>
    <row r="17" spans="1:6" ht="16.5">
      <c r="A17" s="10"/>
      <c r="B17" s="20"/>
      <c r="C17" s="26"/>
      <c r="D17" s="3"/>
      <c r="E17" s="12"/>
      <c r="F17" s="13"/>
    </row>
    <row r="18" spans="1:6" ht="16.5">
      <c r="A18" s="21"/>
      <c r="B18" s="22"/>
      <c r="C18" s="23"/>
      <c r="D18" s="23"/>
      <c r="E18" s="24"/>
      <c r="F18" s="25"/>
    </row>
    <row r="19" spans="1:6" ht="16.5">
      <c r="A19" s="328" t="s">
        <v>14</v>
      </c>
      <c r="B19" s="329"/>
      <c r="C19" s="329"/>
      <c r="D19" s="329"/>
      <c r="E19" s="330"/>
      <c r="F19" s="27">
        <f>SUM(F7:F18)</f>
        <v>15900</v>
      </c>
    </row>
    <row r="20" spans="1:6" ht="16.5">
      <c r="A20" s="328" t="s">
        <v>15</v>
      </c>
      <c r="B20" s="329"/>
      <c r="C20" s="329"/>
      <c r="D20" s="329"/>
      <c r="E20" s="330"/>
      <c r="F20" s="27">
        <f>+F19*9%</f>
        <v>1431</v>
      </c>
    </row>
    <row r="21" spans="1:6" ht="16.5">
      <c r="A21" s="328" t="s">
        <v>16</v>
      </c>
      <c r="B21" s="329"/>
      <c r="C21" s="329"/>
      <c r="D21" s="329"/>
      <c r="E21" s="330"/>
      <c r="F21" s="27">
        <f>+F19*9%</f>
        <v>1431</v>
      </c>
    </row>
    <row r="22" spans="1:6" ht="17.45" customHeight="1">
      <c r="A22" s="331" t="s">
        <v>17</v>
      </c>
      <c r="B22" s="332"/>
      <c r="C22" s="332"/>
      <c r="D22" s="332"/>
      <c r="E22" s="333"/>
      <c r="F22" s="28">
        <f>SUM(F19:F21)</f>
        <v>18762</v>
      </c>
    </row>
    <row r="23" spans="1:6" ht="33" customHeight="1">
      <c r="A23" s="263" t="s">
        <v>212</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28:F28"/>
    <mergeCell ref="A29:F29"/>
    <mergeCell ref="A25:B25"/>
    <mergeCell ref="C25:F25"/>
    <mergeCell ref="A26:B26"/>
    <mergeCell ref="C26:F26"/>
    <mergeCell ref="A27:B27"/>
    <mergeCell ref="C27:F27"/>
    <mergeCell ref="A20:E20"/>
    <mergeCell ref="A21:E21"/>
    <mergeCell ref="A22:E22"/>
    <mergeCell ref="A23:F23"/>
    <mergeCell ref="A24:B24"/>
    <mergeCell ref="C24:F24"/>
    <mergeCell ref="A19:E19"/>
    <mergeCell ref="B1:F1"/>
    <mergeCell ref="A2:F2"/>
    <mergeCell ref="C3:F3"/>
    <mergeCell ref="C4:F4"/>
    <mergeCell ref="C5:F5"/>
  </mergeCells>
  <pageMargins left="0.7" right="0.7" top="0.75" bottom="0.75" header="0.3" footer="0.3"/>
  <pageSetup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9"/>
  <sheetViews>
    <sheetView workbookViewId="0">
      <selection activeCell="J4" sqref="J4"/>
    </sheetView>
  </sheetViews>
  <sheetFormatPr defaultRowHeight="15"/>
  <cols>
    <col min="1" max="1" width="5.5703125" customWidth="1"/>
    <col min="2" max="2" width="46.28515625" customWidth="1"/>
    <col min="3" max="3" width="8.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200</v>
      </c>
      <c r="D3" s="255"/>
      <c r="E3" s="255"/>
      <c r="F3" s="256"/>
    </row>
    <row r="4" spans="1:6" ht="29.25" customHeight="1">
      <c r="A4" s="6"/>
      <c r="B4" s="7" t="s">
        <v>8</v>
      </c>
      <c r="C4" s="254" t="s">
        <v>183</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21.75" customHeight="1">
      <c r="A7" s="10"/>
      <c r="B7" s="11" t="s">
        <v>201</v>
      </c>
      <c r="C7" s="26"/>
      <c r="D7" s="26"/>
      <c r="E7" s="12"/>
      <c r="F7" s="13"/>
    </row>
    <row r="8" spans="1:6" ht="16.5">
      <c r="A8" s="10">
        <v>1</v>
      </c>
      <c r="B8" s="50" t="s">
        <v>205</v>
      </c>
      <c r="C8" s="16">
        <v>15</v>
      </c>
      <c r="D8" s="16" t="s">
        <v>13</v>
      </c>
      <c r="E8" s="51">
        <v>43</v>
      </c>
      <c r="F8" s="12">
        <f>C8*E8</f>
        <v>645</v>
      </c>
    </row>
    <row r="9" spans="1:6" ht="16.5">
      <c r="A9" s="52">
        <v>2</v>
      </c>
      <c r="B9" s="50" t="s">
        <v>204</v>
      </c>
      <c r="C9" s="16">
        <v>15</v>
      </c>
      <c r="D9" s="16" t="s">
        <v>13</v>
      </c>
      <c r="E9" s="51">
        <v>89</v>
      </c>
      <c r="F9" s="12">
        <f>C9*E9</f>
        <v>1335</v>
      </c>
    </row>
    <row r="10" spans="1:6" ht="16.5">
      <c r="A10" s="52">
        <v>3</v>
      </c>
      <c r="B10" s="50" t="s">
        <v>202</v>
      </c>
      <c r="C10" s="16">
        <v>15</v>
      </c>
      <c r="D10" s="16" t="s">
        <v>13</v>
      </c>
      <c r="E10" s="51">
        <v>65</v>
      </c>
      <c r="F10" s="12">
        <f>C10*E10</f>
        <v>975</v>
      </c>
    </row>
    <row r="11" spans="1:6" ht="16.5">
      <c r="A11" s="10">
        <v>4</v>
      </c>
      <c r="B11" s="50" t="s">
        <v>203</v>
      </c>
      <c r="C11" s="16">
        <v>15</v>
      </c>
      <c r="D11" s="16" t="s">
        <v>13</v>
      </c>
      <c r="E11" s="51">
        <v>80</v>
      </c>
      <c r="F11" s="12">
        <f>C11*E11</f>
        <v>1200</v>
      </c>
    </row>
    <row r="12" spans="1:6" ht="16.5">
      <c r="A12" s="52"/>
      <c r="B12" s="50"/>
      <c r="C12" s="16"/>
      <c r="D12" s="16"/>
      <c r="E12" s="51"/>
      <c r="F12" s="12"/>
    </row>
    <row r="13" spans="1:6" ht="16.5">
      <c r="A13" s="10"/>
      <c r="B13" s="44"/>
      <c r="C13" s="3"/>
      <c r="D13" s="3"/>
      <c r="E13" s="12"/>
      <c r="F13" s="13"/>
    </row>
    <row r="14" spans="1:6" ht="16.5">
      <c r="A14" s="10"/>
      <c r="B14" s="44"/>
      <c r="C14" s="3"/>
      <c r="D14" s="3"/>
      <c r="E14" s="12"/>
      <c r="F14" s="13"/>
    </row>
    <row r="15" spans="1:6" ht="16.5">
      <c r="A15" s="10"/>
      <c r="B15" s="44"/>
      <c r="C15" s="3"/>
      <c r="D15" s="3"/>
      <c r="E15" s="12"/>
      <c r="F15" s="13"/>
    </row>
    <row r="16" spans="1:6" ht="16.5">
      <c r="A16" s="10"/>
      <c r="B16" s="44"/>
      <c r="C16" s="3"/>
      <c r="D16" s="3"/>
      <c r="E16" s="12"/>
      <c r="F16" s="13"/>
    </row>
    <row r="17" spans="1:6" ht="16.5">
      <c r="A17" s="10"/>
      <c r="B17" s="20"/>
      <c r="C17" s="26"/>
      <c r="D17" s="3"/>
      <c r="E17" s="12"/>
      <c r="F17" s="13"/>
    </row>
    <row r="18" spans="1:6" ht="16.5">
      <c r="A18" s="21"/>
      <c r="B18" s="22"/>
      <c r="C18" s="23"/>
      <c r="D18" s="23"/>
      <c r="E18" s="24"/>
      <c r="F18" s="25"/>
    </row>
    <row r="19" spans="1:6" ht="16.5">
      <c r="A19" s="328" t="s">
        <v>14</v>
      </c>
      <c r="B19" s="329"/>
      <c r="C19" s="329"/>
      <c r="D19" s="329"/>
      <c r="E19" s="330"/>
      <c r="F19" s="27">
        <f>SUM(F7:F18)</f>
        <v>4155</v>
      </c>
    </row>
    <row r="20" spans="1:6" ht="16.5">
      <c r="A20" s="328" t="s">
        <v>15</v>
      </c>
      <c r="B20" s="329"/>
      <c r="C20" s="329"/>
      <c r="D20" s="329"/>
      <c r="E20" s="330"/>
      <c r="F20" s="27">
        <f>+F19*9%</f>
        <v>373.95</v>
      </c>
    </row>
    <row r="21" spans="1:6" ht="16.5">
      <c r="A21" s="328" t="s">
        <v>16</v>
      </c>
      <c r="B21" s="329"/>
      <c r="C21" s="329"/>
      <c r="D21" s="329"/>
      <c r="E21" s="330"/>
      <c r="F21" s="27">
        <f>+F19*9%</f>
        <v>373.95</v>
      </c>
    </row>
    <row r="22" spans="1:6" ht="17.45" customHeight="1">
      <c r="A22" s="331" t="s">
        <v>17</v>
      </c>
      <c r="B22" s="332"/>
      <c r="C22" s="332"/>
      <c r="D22" s="332"/>
      <c r="E22" s="333"/>
      <c r="F22" s="28">
        <f>SUM(F19:F21)</f>
        <v>4902.8999999999996</v>
      </c>
    </row>
    <row r="23" spans="1:6" ht="33" customHeight="1">
      <c r="A23" s="263" t="s">
        <v>206</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19:E19"/>
    <mergeCell ref="B1:F1"/>
    <mergeCell ref="A2:F2"/>
    <mergeCell ref="C3:F3"/>
    <mergeCell ref="C4:F4"/>
    <mergeCell ref="C5:F5"/>
    <mergeCell ref="A20:E20"/>
    <mergeCell ref="A21:E21"/>
    <mergeCell ref="A22:E22"/>
    <mergeCell ref="A23:F23"/>
    <mergeCell ref="A24:B24"/>
    <mergeCell ref="C24:F24"/>
    <mergeCell ref="A28:F28"/>
    <mergeCell ref="A29:F29"/>
    <mergeCell ref="A25:B25"/>
    <mergeCell ref="C25:F25"/>
    <mergeCell ref="A26:B26"/>
    <mergeCell ref="C26:F26"/>
    <mergeCell ref="A27:B27"/>
    <mergeCell ref="C27:F27"/>
  </mergeCells>
  <pageMargins left="0.7" right="0.7" top="0.75" bottom="0.75" header="0.3" footer="0.3"/>
  <pageSetup orientation="portrait"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27"/>
  <sheetViews>
    <sheetView topLeftCell="A4" workbookViewId="0">
      <selection activeCell="J4" sqref="J4"/>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10" ht="117" customHeight="1">
      <c r="A1" s="1"/>
      <c r="B1" s="290" t="s">
        <v>0</v>
      </c>
      <c r="C1" s="290"/>
      <c r="D1" s="290"/>
      <c r="E1" s="290"/>
      <c r="F1" s="291"/>
    </row>
    <row r="2" spans="1:10" ht="18" customHeight="1">
      <c r="A2" s="251" t="s">
        <v>6</v>
      </c>
      <c r="B2" s="252"/>
      <c r="C2" s="252"/>
      <c r="D2" s="252"/>
      <c r="E2" s="252"/>
      <c r="F2" s="253"/>
    </row>
    <row r="3" spans="1:10" ht="17.25">
      <c r="A3" s="4" t="s">
        <v>7</v>
      </c>
      <c r="B3" s="5" t="s">
        <v>184</v>
      </c>
      <c r="C3" s="254" t="s">
        <v>198</v>
      </c>
      <c r="D3" s="255"/>
      <c r="E3" s="255"/>
      <c r="F3" s="256"/>
    </row>
    <row r="4" spans="1:10" ht="29.25" customHeight="1">
      <c r="A4" s="6"/>
      <c r="B4" s="58" t="s">
        <v>196</v>
      </c>
      <c r="C4" s="254" t="s">
        <v>183</v>
      </c>
      <c r="D4" s="255"/>
      <c r="E4" s="255"/>
      <c r="F4" s="256"/>
    </row>
    <row r="5" spans="1:10" ht="16.5" customHeight="1">
      <c r="A5" s="8"/>
      <c r="B5" s="2" t="s">
        <v>197</v>
      </c>
      <c r="C5" s="257" t="s">
        <v>9</v>
      </c>
      <c r="D5" s="258"/>
      <c r="E5" s="258"/>
      <c r="F5" s="259"/>
    </row>
    <row r="6" spans="1:10" ht="16.5">
      <c r="A6" s="9" t="s">
        <v>3</v>
      </c>
      <c r="B6" s="9" t="s">
        <v>4</v>
      </c>
      <c r="C6" s="9" t="s">
        <v>5</v>
      </c>
      <c r="D6" s="9" t="s">
        <v>10</v>
      </c>
      <c r="E6" s="9" t="s">
        <v>11</v>
      </c>
      <c r="F6" s="9" t="s">
        <v>12</v>
      </c>
      <c r="J6" s="57"/>
    </row>
    <row r="7" spans="1:10" ht="16.5">
      <c r="A7" s="10"/>
      <c r="B7" s="11"/>
      <c r="C7" s="26"/>
      <c r="D7" s="26"/>
      <c r="E7" s="12"/>
      <c r="F7" s="13"/>
    </row>
    <row r="8" spans="1:10" ht="16.5">
      <c r="A8" s="10">
        <v>1</v>
      </c>
      <c r="B8" s="56" t="s">
        <v>195</v>
      </c>
      <c r="C8" s="26">
        <v>11</v>
      </c>
      <c r="D8" s="3" t="s">
        <v>13</v>
      </c>
      <c r="E8" s="12">
        <v>28250</v>
      </c>
      <c r="F8" s="13">
        <f>+C8*E8</f>
        <v>310750</v>
      </c>
    </row>
    <row r="9" spans="1:10" ht="16.5">
      <c r="A9" s="10"/>
      <c r="B9" s="56" t="s">
        <v>191</v>
      </c>
      <c r="C9" s="26"/>
      <c r="D9" s="3"/>
      <c r="E9" s="12"/>
      <c r="F9" s="13"/>
    </row>
    <row r="10" spans="1:10" ht="16.5">
      <c r="A10" s="10">
        <v>2</v>
      </c>
      <c r="B10" s="56" t="s">
        <v>194</v>
      </c>
      <c r="C10" s="26">
        <v>10</v>
      </c>
      <c r="D10" s="3" t="s">
        <v>13</v>
      </c>
      <c r="E10" s="12">
        <v>32870</v>
      </c>
      <c r="F10" s="13">
        <f>+C10*E10</f>
        <v>328700</v>
      </c>
    </row>
    <row r="11" spans="1:10" ht="16.5">
      <c r="A11" s="10"/>
      <c r="B11" s="20" t="s">
        <v>193</v>
      </c>
      <c r="C11" s="26"/>
      <c r="D11" s="3"/>
      <c r="E11" s="12"/>
      <c r="F11" s="13"/>
    </row>
    <row r="12" spans="1:10" ht="16.5">
      <c r="A12" s="10"/>
      <c r="B12" s="20" t="s">
        <v>192</v>
      </c>
      <c r="C12" s="26"/>
      <c r="D12" s="3"/>
      <c r="E12" s="12"/>
      <c r="F12" s="13"/>
    </row>
    <row r="13" spans="1:10" ht="16.5">
      <c r="A13" s="10"/>
      <c r="B13" s="20"/>
      <c r="C13" s="26"/>
      <c r="D13" s="3"/>
      <c r="E13" s="12"/>
      <c r="F13" s="13"/>
    </row>
    <row r="14" spans="1:10" ht="16.5" customHeight="1">
      <c r="A14" s="10"/>
      <c r="B14" s="43"/>
      <c r="C14" s="26"/>
      <c r="D14" s="3"/>
      <c r="E14" s="12"/>
      <c r="F14" s="13"/>
    </row>
    <row r="15" spans="1:10" ht="16.5">
      <c r="A15" s="21"/>
      <c r="B15" s="22"/>
      <c r="C15" s="23"/>
      <c r="D15" s="23"/>
      <c r="E15" s="24"/>
      <c r="F15" s="25"/>
    </row>
    <row r="16" spans="1:10" ht="16.5">
      <c r="A16" s="328" t="s">
        <v>14</v>
      </c>
      <c r="B16" s="329"/>
      <c r="C16" s="329"/>
      <c r="D16" s="329"/>
      <c r="E16" s="330"/>
      <c r="F16" s="27">
        <f>SUM(F7:F15)</f>
        <v>639450</v>
      </c>
    </row>
    <row r="17" spans="1:6" ht="16.5">
      <c r="A17" s="328" t="s">
        <v>15</v>
      </c>
      <c r="B17" s="329"/>
      <c r="C17" s="329"/>
      <c r="D17" s="329"/>
      <c r="E17" s="330"/>
      <c r="F17" s="27">
        <f>+F16*9%</f>
        <v>57550.5</v>
      </c>
    </row>
    <row r="18" spans="1:6" ht="16.5">
      <c r="A18" s="328" t="s">
        <v>16</v>
      </c>
      <c r="B18" s="329"/>
      <c r="C18" s="329"/>
      <c r="D18" s="329"/>
      <c r="E18" s="330"/>
      <c r="F18" s="27">
        <f>+F16*9%</f>
        <v>57550.5</v>
      </c>
    </row>
    <row r="19" spans="1:6" ht="17.45" customHeight="1">
      <c r="A19" s="331" t="s">
        <v>17</v>
      </c>
      <c r="B19" s="332"/>
      <c r="C19" s="332"/>
      <c r="D19" s="332"/>
      <c r="E19" s="333"/>
      <c r="F19" s="28">
        <f>SUM(F16:F18)</f>
        <v>754551</v>
      </c>
    </row>
    <row r="20" spans="1:6" ht="33" customHeight="1">
      <c r="A20" s="263" t="s">
        <v>199</v>
      </c>
      <c r="B20" s="264"/>
      <c r="C20" s="264"/>
      <c r="D20" s="264"/>
      <c r="E20" s="264"/>
      <c r="F20" s="265"/>
    </row>
    <row r="21" spans="1:6" ht="15" customHeight="1">
      <c r="A21" s="266" t="s">
        <v>18</v>
      </c>
      <c r="B21" s="267"/>
      <c r="C21" s="268" t="s">
        <v>19</v>
      </c>
      <c r="D21" s="269"/>
      <c r="E21" s="269"/>
      <c r="F21" s="270"/>
    </row>
    <row r="22" spans="1:6" ht="15" customHeight="1">
      <c r="A22" s="279" t="s">
        <v>186</v>
      </c>
      <c r="B22" s="278"/>
      <c r="C22" s="279" t="s">
        <v>21</v>
      </c>
      <c r="D22" s="278"/>
      <c r="E22" s="278"/>
      <c r="F22" s="280"/>
    </row>
    <row r="23" spans="1:6" ht="15" customHeight="1">
      <c r="A23" s="279" t="s">
        <v>187</v>
      </c>
      <c r="B23" s="278"/>
      <c r="C23" s="279" t="s">
        <v>23</v>
      </c>
      <c r="D23" s="278"/>
      <c r="E23" s="278"/>
      <c r="F23" s="280"/>
    </row>
    <row r="24" spans="1:6" ht="15" customHeight="1">
      <c r="A24" s="49" t="s">
        <v>159</v>
      </c>
      <c r="B24" s="47"/>
      <c r="C24" s="279" t="s">
        <v>25</v>
      </c>
      <c r="D24" s="278"/>
      <c r="E24" s="278"/>
      <c r="F24" s="280"/>
    </row>
    <row r="25" spans="1:6" ht="15" customHeight="1">
      <c r="A25" s="284" t="s">
        <v>188</v>
      </c>
      <c r="B25" s="285"/>
      <c r="C25" s="284"/>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1">
    <mergeCell ref="A26:F26"/>
    <mergeCell ref="A27:F27"/>
    <mergeCell ref="A22:B22"/>
    <mergeCell ref="C22:F22"/>
    <mergeCell ref="A23:B23"/>
    <mergeCell ref="C23:F23"/>
    <mergeCell ref="C24:F24"/>
    <mergeCell ref="A25:B25"/>
    <mergeCell ref="C25:F25"/>
    <mergeCell ref="A17:E17"/>
    <mergeCell ref="A18:E18"/>
    <mergeCell ref="A19:E19"/>
    <mergeCell ref="A20:F20"/>
    <mergeCell ref="A21:B21"/>
    <mergeCell ref="C21:F21"/>
    <mergeCell ref="A16:E16"/>
    <mergeCell ref="B1:F1"/>
    <mergeCell ref="A2:F2"/>
    <mergeCell ref="C3:F3"/>
    <mergeCell ref="C4:F4"/>
    <mergeCell ref="C5:F5"/>
  </mergeCells>
  <pageMargins left="0.7" right="0.7" top="0.75" bottom="0.75" header="0.3" footer="0.3"/>
  <pageSetup orientation="portrait"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7"/>
  <sheetViews>
    <sheetView workbookViewId="0">
      <selection activeCell="L21" sqref="L21"/>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184</v>
      </c>
      <c r="C3" s="254" t="s">
        <v>182</v>
      </c>
      <c r="D3" s="255"/>
      <c r="E3" s="255"/>
      <c r="F3" s="256"/>
    </row>
    <row r="4" spans="1:6" ht="29.25" customHeight="1">
      <c r="A4" s="6"/>
      <c r="B4" s="7" t="s">
        <v>190</v>
      </c>
      <c r="C4" s="254" t="s">
        <v>183</v>
      </c>
      <c r="D4" s="255"/>
      <c r="E4" s="255"/>
      <c r="F4" s="256"/>
    </row>
    <row r="5" spans="1:6" ht="16.5" customHeight="1">
      <c r="A5" s="8"/>
      <c r="B5" s="2" t="s">
        <v>185</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55" t="s">
        <v>181</v>
      </c>
      <c r="C8" s="26">
        <v>1</v>
      </c>
      <c r="D8" s="3" t="s">
        <v>13</v>
      </c>
      <c r="E8" s="12">
        <v>15000</v>
      </c>
      <c r="F8" s="13">
        <f>+C8*E8</f>
        <v>15000</v>
      </c>
    </row>
    <row r="9" spans="1:6" ht="16.5">
      <c r="A9" s="10">
        <v>2</v>
      </c>
      <c r="B9" s="55" t="s">
        <v>179</v>
      </c>
      <c r="C9" s="26">
        <v>1</v>
      </c>
      <c r="D9" s="3" t="s">
        <v>13</v>
      </c>
      <c r="E9" s="12">
        <v>18000</v>
      </c>
      <c r="F9" s="13">
        <f>+C9*E9</f>
        <v>18000</v>
      </c>
    </row>
    <row r="10" spans="1:6" ht="16.5">
      <c r="A10" s="10">
        <v>3</v>
      </c>
      <c r="B10" s="55" t="s">
        <v>180</v>
      </c>
      <c r="C10" s="26">
        <v>1</v>
      </c>
      <c r="D10" s="3" t="s">
        <v>13</v>
      </c>
      <c r="E10" s="12">
        <v>15000</v>
      </c>
      <c r="F10" s="13">
        <f>+C10*E10</f>
        <v>15000</v>
      </c>
    </row>
    <row r="11" spans="1:6" ht="16.5">
      <c r="A11" s="10"/>
      <c r="B11" s="20"/>
      <c r="C11" s="26"/>
      <c r="D11" s="3"/>
      <c r="E11" s="12"/>
      <c r="F11" s="13"/>
    </row>
    <row r="12" spans="1:6" ht="16.5">
      <c r="A12" s="10"/>
      <c r="B12" s="20"/>
      <c r="C12" s="26"/>
      <c r="D12" s="3"/>
      <c r="E12" s="12"/>
      <c r="F12" s="13"/>
    </row>
    <row r="13" spans="1:6" ht="16.5">
      <c r="A13" s="10"/>
      <c r="B13" s="20"/>
      <c r="C13" s="26"/>
      <c r="D13" s="3"/>
      <c r="E13" s="12"/>
      <c r="F13" s="13"/>
    </row>
    <row r="14" spans="1:6" ht="16.5" customHeight="1">
      <c r="A14" s="10"/>
      <c r="B14" s="43"/>
      <c r="C14" s="26"/>
      <c r="D14" s="3"/>
      <c r="E14" s="12"/>
      <c r="F14" s="13"/>
    </row>
    <row r="15" spans="1:6" ht="16.5">
      <c r="A15" s="21"/>
      <c r="B15" s="22"/>
      <c r="C15" s="23"/>
      <c r="D15" s="23"/>
      <c r="E15" s="24"/>
      <c r="F15" s="25"/>
    </row>
    <row r="16" spans="1:6" ht="16.5">
      <c r="A16" s="328" t="s">
        <v>14</v>
      </c>
      <c r="B16" s="329"/>
      <c r="C16" s="329"/>
      <c r="D16" s="329"/>
      <c r="E16" s="330"/>
      <c r="F16" s="27">
        <f>SUM(F7:F15)</f>
        <v>48000</v>
      </c>
    </row>
    <row r="17" spans="1:6" ht="16.5">
      <c r="A17" s="328" t="s">
        <v>15</v>
      </c>
      <c r="B17" s="329"/>
      <c r="C17" s="329"/>
      <c r="D17" s="329"/>
      <c r="E17" s="330"/>
      <c r="F17" s="27">
        <f>+F16*9%</f>
        <v>4320</v>
      </c>
    </row>
    <row r="18" spans="1:6" ht="16.5">
      <c r="A18" s="328" t="s">
        <v>16</v>
      </c>
      <c r="B18" s="329"/>
      <c r="C18" s="329"/>
      <c r="D18" s="329"/>
      <c r="E18" s="330"/>
      <c r="F18" s="27">
        <f>+F16*9%</f>
        <v>4320</v>
      </c>
    </row>
    <row r="19" spans="1:6" ht="17.45" customHeight="1">
      <c r="A19" s="331" t="s">
        <v>17</v>
      </c>
      <c r="B19" s="332"/>
      <c r="C19" s="332"/>
      <c r="D19" s="332"/>
      <c r="E19" s="333"/>
      <c r="F19" s="28">
        <f>SUM(F16:F18)</f>
        <v>56640</v>
      </c>
    </row>
    <row r="20" spans="1:6" ht="33" customHeight="1">
      <c r="A20" s="263" t="s">
        <v>189</v>
      </c>
      <c r="B20" s="264"/>
      <c r="C20" s="264"/>
      <c r="D20" s="264"/>
      <c r="E20" s="264"/>
      <c r="F20" s="265"/>
    </row>
    <row r="21" spans="1:6" ht="15" customHeight="1">
      <c r="A21" s="266" t="s">
        <v>18</v>
      </c>
      <c r="B21" s="267"/>
      <c r="C21" s="268" t="s">
        <v>19</v>
      </c>
      <c r="D21" s="269"/>
      <c r="E21" s="269"/>
      <c r="F21" s="270"/>
    </row>
    <row r="22" spans="1:6" ht="15" customHeight="1">
      <c r="A22" s="279" t="s">
        <v>186</v>
      </c>
      <c r="B22" s="278"/>
      <c r="C22" s="279" t="s">
        <v>21</v>
      </c>
      <c r="D22" s="278"/>
      <c r="E22" s="278"/>
      <c r="F22" s="280"/>
    </row>
    <row r="23" spans="1:6" ht="15" customHeight="1">
      <c r="A23" s="279" t="s">
        <v>187</v>
      </c>
      <c r="B23" s="278"/>
      <c r="C23" s="279" t="s">
        <v>23</v>
      </c>
      <c r="D23" s="278"/>
      <c r="E23" s="278"/>
      <c r="F23" s="280"/>
    </row>
    <row r="24" spans="1:6" ht="15" customHeight="1">
      <c r="A24" s="49" t="s">
        <v>159</v>
      </c>
      <c r="B24" s="47"/>
      <c r="C24" s="279" t="s">
        <v>25</v>
      </c>
      <c r="D24" s="278"/>
      <c r="E24" s="278"/>
      <c r="F24" s="280"/>
    </row>
    <row r="25" spans="1:6" ht="15" customHeight="1">
      <c r="A25" s="284" t="s">
        <v>188</v>
      </c>
      <c r="B25" s="285"/>
      <c r="C25" s="284"/>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1">
    <mergeCell ref="A26:F26"/>
    <mergeCell ref="A27:F27"/>
    <mergeCell ref="A22:B22"/>
    <mergeCell ref="C22:F22"/>
    <mergeCell ref="A23:B23"/>
    <mergeCell ref="C23:F23"/>
    <mergeCell ref="A25:B25"/>
    <mergeCell ref="C25:F25"/>
    <mergeCell ref="C24:F24"/>
    <mergeCell ref="A17:E17"/>
    <mergeCell ref="A18:E18"/>
    <mergeCell ref="A19:E19"/>
    <mergeCell ref="A20:F20"/>
    <mergeCell ref="A21:B21"/>
    <mergeCell ref="C21:F21"/>
    <mergeCell ref="A16:E16"/>
    <mergeCell ref="B1:F1"/>
    <mergeCell ref="A2:F2"/>
    <mergeCell ref="C3:F3"/>
    <mergeCell ref="C4:F4"/>
    <mergeCell ref="C5:F5"/>
  </mergeCells>
  <pageMargins left="0.7" right="0.7" top="0.75" bottom="0.75" header="0.3" footer="0.3"/>
  <pageSetup orientation="portrait"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29"/>
  <sheetViews>
    <sheetView topLeftCell="A4" workbookViewId="0">
      <selection activeCell="L4" sqref="L4"/>
    </sheetView>
  </sheetViews>
  <sheetFormatPr defaultRowHeight="15"/>
  <cols>
    <col min="1" max="1" width="5.5703125" customWidth="1"/>
    <col min="2" max="2" width="46.28515625" customWidth="1"/>
    <col min="3" max="3" width="8.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168</v>
      </c>
      <c r="D3" s="255"/>
      <c r="E3" s="255"/>
      <c r="F3" s="256"/>
    </row>
    <row r="4" spans="1:6" ht="29.25" customHeight="1">
      <c r="A4" s="6"/>
      <c r="B4" s="7" t="s">
        <v>8</v>
      </c>
      <c r="C4" s="254" t="s">
        <v>169</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50" t="s">
        <v>166</v>
      </c>
      <c r="C8" s="16">
        <v>1</v>
      </c>
      <c r="D8" s="16" t="s">
        <v>174</v>
      </c>
      <c r="E8" s="51">
        <v>50000</v>
      </c>
      <c r="F8" s="12">
        <f>C8*E8</f>
        <v>50000</v>
      </c>
    </row>
    <row r="9" spans="1:6" ht="16.5">
      <c r="A9" s="52"/>
      <c r="B9" s="50" t="s">
        <v>170</v>
      </c>
      <c r="C9" s="16"/>
      <c r="D9" s="16"/>
      <c r="E9" s="53"/>
      <c r="F9" s="12"/>
    </row>
    <row r="10" spans="1:6" ht="16.5">
      <c r="A10" s="52"/>
      <c r="B10" s="50" t="s">
        <v>171</v>
      </c>
      <c r="C10" s="16"/>
      <c r="D10" s="16"/>
      <c r="E10" s="53"/>
      <c r="F10" s="12"/>
    </row>
    <row r="11" spans="1:6" ht="16.5">
      <c r="A11" s="10"/>
      <c r="B11" s="50" t="s">
        <v>173</v>
      </c>
      <c r="C11" s="16"/>
      <c r="D11" s="16"/>
      <c r="E11" s="51"/>
      <c r="F11" s="12"/>
    </row>
    <row r="12" spans="1:6" ht="16.5">
      <c r="A12" s="52"/>
      <c r="B12" s="50" t="s">
        <v>167</v>
      </c>
      <c r="C12" s="16"/>
      <c r="D12" s="16"/>
      <c r="E12" s="51"/>
      <c r="F12" s="12"/>
    </row>
    <row r="13" spans="1:6" ht="16.5">
      <c r="A13" s="10"/>
      <c r="B13" s="44"/>
      <c r="C13" s="3"/>
      <c r="D13" s="3"/>
      <c r="E13" s="12"/>
      <c r="F13" s="13"/>
    </row>
    <row r="14" spans="1:6" ht="16.5">
      <c r="A14" s="10"/>
      <c r="B14" s="44"/>
      <c r="C14" s="3"/>
      <c r="D14" s="3"/>
      <c r="E14" s="12"/>
      <c r="F14" s="13"/>
    </row>
    <row r="15" spans="1:6" ht="16.5">
      <c r="A15" s="10"/>
      <c r="B15" s="44"/>
      <c r="C15" s="3"/>
      <c r="D15" s="3"/>
      <c r="E15" s="12"/>
      <c r="F15" s="13"/>
    </row>
    <row r="16" spans="1:6" ht="16.5">
      <c r="A16" s="10"/>
      <c r="B16" s="44"/>
      <c r="C16" s="3"/>
      <c r="D16" s="3"/>
      <c r="E16" s="12"/>
      <c r="F16" s="13"/>
    </row>
    <row r="17" spans="1:6" ht="16.5">
      <c r="A17" s="10"/>
      <c r="B17" s="20"/>
      <c r="C17" s="26"/>
      <c r="D17" s="3"/>
      <c r="E17" s="12"/>
      <c r="F17" s="13"/>
    </row>
    <row r="18" spans="1:6" ht="16.5">
      <c r="A18" s="21"/>
      <c r="B18" s="22"/>
      <c r="C18" s="23"/>
      <c r="D18" s="23"/>
      <c r="E18" s="24"/>
      <c r="F18" s="25"/>
    </row>
    <row r="19" spans="1:6" ht="16.5">
      <c r="A19" s="328" t="s">
        <v>14</v>
      </c>
      <c r="B19" s="329"/>
      <c r="C19" s="329"/>
      <c r="D19" s="329"/>
      <c r="E19" s="330"/>
      <c r="F19" s="27">
        <f>SUM(F7:F18)</f>
        <v>50000</v>
      </c>
    </row>
    <row r="20" spans="1:6" ht="16.5">
      <c r="A20" s="328" t="s">
        <v>15</v>
      </c>
      <c r="B20" s="329"/>
      <c r="C20" s="329"/>
      <c r="D20" s="329"/>
      <c r="E20" s="330"/>
      <c r="F20" s="27">
        <f>+F19*9%</f>
        <v>4500</v>
      </c>
    </row>
    <row r="21" spans="1:6" ht="16.5">
      <c r="A21" s="328" t="s">
        <v>16</v>
      </c>
      <c r="B21" s="329"/>
      <c r="C21" s="329"/>
      <c r="D21" s="329"/>
      <c r="E21" s="330"/>
      <c r="F21" s="27">
        <f>+F19*9%</f>
        <v>4500</v>
      </c>
    </row>
    <row r="22" spans="1:6" ht="17.45" customHeight="1">
      <c r="A22" s="331" t="s">
        <v>17</v>
      </c>
      <c r="B22" s="332"/>
      <c r="C22" s="332"/>
      <c r="D22" s="332"/>
      <c r="E22" s="333"/>
      <c r="F22" s="28">
        <f>SUM(F19:F21)</f>
        <v>59000</v>
      </c>
    </row>
    <row r="23" spans="1:6" ht="33" customHeight="1">
      <c r="A23" s="263" t="s">
        <v>172</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28:F28"/>
    <mergeCell ref="A29:F29"/>
    <mergeCell ref="A25:B25"/>
    <mergeCell ref="C25:F25"/>
    <mergeCell ref="A26:B26"/>
    <mergeCell ref="C26:F26"/>
    <mergeCell ref="A27:B27"/>
    <mergeCell ref="C27:F27"/>
    <mergeCell ref="A20:E20"/>
    <mergeCell ref="A21:E21"/>
    <mergeCell ref="A22:E22"/>
    <mergeCell ref="A23:F23"/>
    <mergeCell ref="A24:B24"/>
    <mergeCell ref="C24:F24"/>
    <mergeCell ref="A19:E19"/>
    <mergeCell ref="B1:F1"/>
    <mergeCell ref="A2:F2"/>
    <mergeCell ref="C3:F3"/>
    <mergeCell ref="C4:F4"/>
    <mergeCell ref="C5:F5"/>
  </mergeCells>
  <pageMargins left="0.7" right="0.7" top="0.75" bottom="0.75" header="0.3" footer="0.3"/>
  <pageSetup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30"/>
  <sheetViews>
    <sheetView topLeftCell="A4" workbookViewId="0">
      <selection activeCell="L23" sqref="L23"/>
    </sheetView>
  </sheetViews>
  <sheetFormatPr defaultRowHeight="15"/>
  <cols>
    <col min="1" max="1" width="5.5703125" customWidth="1"/>
    <col min="2" max="2" width="40.140625" customWidth="1"/>
    <col min="3" max="3" width="8.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177</v>
      </c>
      <c r="D3" s="255"/>
      <c r="E3" s="255"/>
      <c r="F3" s="256"/>
    </row>
    <row r="4" spans="1:6" ht="29.25" customHeight="1">
      <c r="A4" s="6"/>
      <c r="B4" s="7" t="s">
        <v>8</v>
      </c>
      <c r="C4" s="254" t="s">
        <v>178</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10"/>
      <c r="B7" s="11" t="s">
        <v>127</v>
      </c>
      <c r="C7" s="26"/>
      <c r="D7" s="26"/>
      <c r="E7" s="12"/>
      <c r="F7" s="13"/>
    </row>
    <row r="8" spans="1:6" ht="16.5">
      <c r="A8" s="14">
        <v>1</v>
      </c>
      <c r="B8" s="20" t="s">
        <v>113</v>
      </c>
      <c r="C8" s="26">
        <v>180</v>
      </c>
      <c r="D8" s="17" t="s">
        <v>114</v>
      </c>
      <c r="E8" s="12">
        <v>6850</v>
      </c>
      <c r="F8" s="13">
        <f>+C8*E8</f>
        <v>1233000</v>
      </c>
    </row>
    <row r="9" spans="1:6" ht="16.5">
      <c r="A9" s="14">
        <v>2</v>
      </c>
      <c r="B9" s="20" t="s">
        <v>165</v>
      </c>
      <c r="C9" s="26">
        <v>2</v>
      </c>
      <c r="D9" s="17" t="s">
        <v>60</v>
      </c>
      <c r="E9" s="12">
        <v>165500</v>
      </c>
      <c r="F9" s="13">
        <f>+C9*E9</f>
        <v>331000</v>
      </c>
    </row>
    <row r="10" spans="1:6" ht="16.5">
      <c r="A10" s="10">
        <v>3</v>
      </c>
      <c r="B10" s="20" t="s">
        <v>115</v>
      </c>
      <c r="C10" s="26">
        <v>1000</v>
      </c>
      <c r="D10" s="3" t="s">
        <v>116</v>
      </c>
      <c r="E10" s="12">
        <v>5</v>
      </c>
      <c r="F10" s="13">
        <f>+C10*E10</f>
        <v>5000</v>
      </c>
    </row>
    <row r="11" spans="1:6" ht="33">
      <c r="A11" s="10">
        <v>4</v>
      </c>
      <c r="B11" s="44" t="s">
        <v>117</v>
      </c>
      <c r="C11" s="3">
        <v>60</v>
      </c>
      <c r="D11" s="3" t="s">
        <v>116</v>
      </c>
      <c r="E11" s="12">
        <v>3500</v>
      </c>
      <c r="F11" s="13">
        <f>+C11*E11</f>
        <v>210000</v>
      </c>
    </row>
    <row r="12" spans="1:6" ht="16.5">
      <c r="A12" s="10"/>
      <c r="B12" s="44"/>
      <c r="C12" s="3"/>
      <c r="D12" s="3"/>
      <c r="E12" s="12"/>
      <c r="F12" s="13"/>
    </row>
    <row r="13" spans="1:6" ht="16.5">
      <c r="A13" s="10"/>
      <c r="B13" s="44"/>
      <c r="C13" s="3"/>
      <c r="D13" s="3"/>
      <c r="E13" s="12"/>
      <c r="F13" s="13"/>
    </row>
    <row r="14" spans="1:6" ht="16.5">
      <c r="A14" s="10"/>
      <c r="B14" s="44"/>
      <c r="C14" s="3"/>
      <c r="D14" s="3"/>
      <c r="E14" s="12"/>
      <c r="F14" s="13"/>
    </row>
    <row r="15" spans="1:6" ht="16.5">
      <c r="A15" s="10"/>
      <c r="B15" s="44"/>
      <c r="C15" s="3"/>
      <c r="D15" s="3"/>
      <c r="E15" s="12"/>
      <c r="F15" s="13"/>
    </row>
    <row r="16" spans="1:6" ht="16.5">
      <c r="A16" s="10"/>
      <c r="B16" s="20"/>
      <c r="C16" s="26"/>
      <c r="D16" s="3"/>
      <c r="E16" s="12"/>
      <c r="F16" s="13"/>
    </row>
    <row r="17" spans="1:6" ht="16.5">
      <c r="A17" s="21"/>
      <c r="B17" s="22"/>
      <c r="C17" s="23"/>
      <c r="D17" s="23"/>
      <c r="E17" s="24"/>
      <c r="F17" s="25"/>
    </row>
    <row r="18" spans="1:6" ht="16.5">
      <c r="A18" s="328" t="s">
        <v>119</v>
      </c>
      <c r="B18" s="329"/>
      <c r="C18" s="329"/>
      <c r="D18" s="329"/>
      <c r="E18" s="330"/>
      <c r="F18" s="12">
        <v>-35580</v>
      </c>
    </row>
    <row r="19" spans="1:6" ht="16.5">
      <c r="A19" s="328" t="s">
        <v>14</v>
      </c>
      <c r="B19" s="329"/>
      <c r="C19" s="329"/>
      <c r="D19" s="329"/>
      <c r="E19" s="330"/>
      <c r="F19" s="27">
        <f>SUM(F7:F18)</f>
        <v>1743420</v>
      </c>
    </row>
    <row r="20" spans="1:6" ht="16.5">
      <c r="A20" s="328" t="s">
        <v>15</v>
      </c>
      <c r="B20" s="329"/>
      <c r="C20" s="329"/>
      <c r="D20" s="329"/>
      <c r="E20" s="330"/>
      <c r="F20" s="27">
        <f>+F19*9%</f>
        <v>156907.79999999999</v>
      </c>
    </row>
    <row r="21" spans="1:6" ht="16.5">
      <c r="A21" s="328" t="s">
        <v>16</v>
      </c>
      <c r="B21" s="329"/>
      <c r="C21" s="329"/>
      <c r="D21" s="329"/>
      <c r="E21" s="330"/>
      <c r="F21" s="27">
        <f>+F19*9%</f>
        <v>156907.79999999999</v>
      </c>
    </row>
    <row r="22" spans="1:6" ht="16.5">
      <c r="A22" s="328" t="s">
        <v>175</v>
      </c>
      <c r="B22" s="329"/>
      <c r="C22" s="329"/>
      <c r="D22" s="329"/>
      <c r="E22" s="330"/>
      <c r="F22" s="54">
        <v>0.4</v>
      </c>
    </row>
    <row r="23" spans="1:6" ht="17.45" customHeight="1">
      <c r="A23" s="331" t="s">
        <v>17</v>
      </c>
      <c r="B23" s="332"/>
      <c r="C23" s="332"/>
      <c r="D23" s="332"/>
      <c r="E23" s="333"/>
      <c r="F23" s="28">
        <f>SUM(F19:F22)</f>
        <v>2057236</v>
      </c>
    </row>
    <row r="24" spans="1:6" ht="33" customHeight="1">
      <c r="A24" s="263" t="s">
        <v>176</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2">
    <mergeCell ref="A19:E19"/>
    <mergeCell ref="B1:F1"/>
    <mergeCell ref="A2:F2"/>
    <mergeCell ref="C3:F3"/>
    <mergeCell ref="C4:F4"/>
    <mergeCell ref="C5:F5"/>
    <mergeCell ref="A18:E18"/>
    <mergeCell ref="A20:E20"/>
    <mergeCell ref="A21:E21"/>
    <mergeCell ref="A23:E23"/>
    <mergeCell ref="A24:F24"/>
    <mergeCell ref="A25:B25"/>
    <mergeCell ref="C25:F25"/>
    <mergeCell ref="A22:E22"/>
    <mergeCell ref="A29:F29"/>
    <mergeCell ref="A30:F30"/>
    <mergeCell ref="A26:B26"/>
    <mergeCell ref="C26:F26"/>
    <mergeCell ref="A27:B27"/>
    <mergeCell ref="C27:F27"/>
    <mergeCell ref="A28:B28"/>
    <mergeCell ref="C28:F28"/>
  </mergeCells>
  <pageMargins left="0.7" right="0.7" top="0.75" bottom="0.75" header="0.3" footer="0.3"/>
  <pageSetup orientation="portrait"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O34"/>
  <sheetViews>
    <sheetView topLeftCell="A4" workbookViewId="0">
      <selection activeCell="E9" sqref="E9"/>
    </sheetView>
  </sheetViews>
  <sheetFormatPr defaultRowHeight="15"/>
  <cols>
    <col min="1" max="1" width="5.5703125" customWidth="1"/>
    <col min="2" max="2" width="43" customWidth="1"/>
    <col min="3" max="3" width="8.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45" customHeight="1">
      <c r="A3" s="4" t="s">
        <v>7</v>
      </c>
      <c r="B3" s="334" t="s">
        <v>156</v>
      </c>
      <c r="C3" s="254" t="s">
        <v>138</v>
      </c>
      <c r="D3" s="255"/>
      <c r="E3" s="255"/>
      <c r="F3" s="256"/>
    </row>
    <row r="4" spans="1:6" ht="17.45" customHeight="1">
      <c r="A4" s="48"/>
      <c r="B4" s="335"/>
      <c r="C4" s="254" t="s">
        <v>139</v>
      </c>
      <c r="D4" s="255"/>
      <c r="E4" s="255"/>
      <c r="F4" s="256"/>
    </row>
    <row r="5" spans="1:6" ht="15.75" customHeight="1">
      <c r="A5" s="6"/>
      <c r="B5" s="7" t="s">
        <v>157</v>
      </c>
      <c r="C5" s="257" t="s">
        <v>9</v>
      </c>
      <c r="D5" s="258"/>
      <c r="E5" s="258"/>
      <c r="F5" s="259"/>
    </row>
    <row r="6" spans="1:6" ht="16.5" customHeight="1">
      <c r="A6" s="8"/>
      <c r="B6" s="2"/>
      <c r="C6" s="257"/>
      <c r="D6" s="258"/>
      <c r="E6" s="258"/>
      <c r="F6" s="259"/>
    </row>
    <row r="7" spans="1:6" ht="16.5">
      <c r="A7" s="9" t="s">
        <v>3</v>
      </c>
      <c r="B7" s="9" t="s">
        <v>4</v>
      </c>
      <c r="C7" s="9" t="s">
        <v>5</v>
      </c>
      <c r="D7" s="9" t="s">
        <v>10</v>
      </c>
      <c r="E7" s="9" t="s">
        <v>11</v>
      </c>
      <c r="F7" s="9" t="s">
        <v>12</v>
      </c>
    </row>
    <row r="8" spans="1:6" ht="16.5">
      <c r="A8" s="10"/>
      <c r="B8" s="11" t="s">
        <v>155</v>
      </c>
      <c r="C8" s="26"/>
      <c r="D8" s="26"/>
      <c r="E8" s="12"/>
      <c r="F8" s="13"/>
    </row>
    <row r="9" spans="1:6" ht="16.5">
      <c r="A9" s="10">
        <v>1</v>
      </c>
      <c r="B9" s="46" t="s">
        <v>140</v>
      </c>
      <c r="C9" s="26">
        <v>1</v>
      </c>
      <c r="D9" s="26" t="s">
        <v>154</v>
      </c>
      <c r="E9" s="12">
        <v>103000</v>
      </c>
      <c r="F9" s="13">
        <f>+C9*E9</f>
        <v>103000</v>
      </c>
    </row>
    <row r="10" spans="1:6" ht="16.5">
      <c r="A10" s="10"/>
      <c r="B10" s="46" t="s">
        <v>141</v>
      </c>
      <c r="C10" s="26"/>
      <c r="D10" s="26"/>
      <c r="E10" s="12"/>
      <c r="F10" s="13"/>
    </row>
    <row r="11" spans="1:6" ht="16.5">
      <c r="A11" s="14"/>
      <c r="B11" s="20" t="s">
        <v>142</v>
      </c>
      <c r="C11" s="26"/>
      <c r="D11" s="17"/>
      <c r="E11" s="12"/>
      <c r="F11" s="13"/>
    </row>
    <row r="12" spans="1:6" ht="16.5">
      <c r="A12" s="14"/>
      <c r="B12" s="20" t="s">
        <v>143</v>
      </c>
      <c r="C12" s="26"/>
      <c r="D12" s="17"/>
      <c r="E12" s="12"/>
      <c r="F12" s="13"/>
    </row>
    <row r="13" spans="1:6" ht="16.5">
      <c r="A13" s="10"/>
      <c r="B13" s="20" t="s">
        <v>144</v>
      </c>
      <c r="C13" s="26"/>
      <c r="D13" s="3"/>
      <c r="E13" s="12"/>
      <c r="F13" s="13"/>
    </row>
    <row r="14" spans="1:6" ht="16.5">
      <c r="A14" s="10"/>
      <c r="B14" s="44" t="s">
        <v>145</v>
      </c>
      <c r="C14" s="3"/>
      <c r="D14" s="3"/>
      <c r="E14" s="12"/>
      <c r="F14" s="13"/>
    </row>
    <row r="15" spans="1:6" ht="16.5">
      <c r="A15" s="10"/>
      <c r="B15" s="44" t="s">
        <v>146</v>
      </c>
      <c r="C15" s="3"/>
      <c r="D15" s="3"/>
      <c r="E15" s="12"/>
      <c r="F15" s="13"/>
    </row>
    <row r="16" spans="1:6" ht="16.5">
      <c r="A16" s="10"/>
      <c r="B16" s="44" t="s">
        <v>147</v>
      </c>
      <c r="C16" s="3"/>
      <c r="D16" s="3"/>
      <c r="E16" s="12"/>
      <c r="F16" s="13"/>
    </row>
    <row r="17" spans="1:15" ht="16.5">
      <c r="A17" s="10"/>
      <c r="B17" s="20" t="s">
        <v>148</v>
      </c>
      <c r="C17" s="3"/>
      <c r="D17" s="3"/>
      <c r="E17" s="12"/>
      <c r="F17" s="13"/>
    </row>
    <row r="18" spans="1:15" ht="16.5">
      <c r="A18" s="10"/>
      <c r="B18" s="20" t="s">
        <v>149</v>
      </c>
      <c r="C18" s="3"/>
      <c r="D18" s="3"/>
      <c r="E18" s="12"/>
      <c r="F18" s="13"/>
    </row>
    <row r="19" spans="1:15" ht="16.5">
      <c r="A19" s="10"/>
      <c r="B19" s="20" t="s">
        <v>150</v>
      </c>
      <c r="C19" s="3"/>
      <c r="D19" s="3"/>
      <c r="E19" s="12"/>
      <c r="F19" s="13"/>
    </row>
    <row r="20" spans="1:15" ht="16.5">
      <c r="A20" s="10"/>
      <c r="B20" s="20" t="s">
        <v>151</v>
      </c>
      <c r="C20" s="3"/>
      <c r="D20" s="3"/>
      <c r="E20" s="12"/>
      <c r="F20" s="13"/>
    </row>
    <row r="21" spans="1:15" ht="16.5">
      <c r="A21" s="10"/>
      <c r="B21" s="20" t="s">
        <v>152</v>
      </c>
      <c r="C21" s="3"/>
      <c r="D21" s="3"/>
      <c r="E21" s="12"/>
      <c r="F21" s="13"/>
    </row>
    <row r="22" spans="1:15" ht="16.5">
      <c r="A22" s="21"/>
      <c r="B22" s="34" t="s">
        <v>153</v>
      </c>
      <c r="C22" s="35"/>
      <c r="D22" s="35"/>
      <c r="E22" s="25"/>
      <c r="F22" s="36"/>
    </row>
    <row r="23" spans="1:15" ht="16.5">
      <c r="A23" s="328" t="s">
        <v>14</v>
      </c>
      <c r="B23" s="329"/>
      <c r="C23" s="329"/>
      <c r="D23" s="329"/>
      <c r="E23" s="330"/>
      <c r="F23" s="27">
        <f>SUM(F8:F22)</f>
        <v>103000</v>
      </c>
    </row>
    <row r="24" spans="1:15" ht="16.5">
      <c r="A24" s="328" t="s">
        <v>15</v>
      </c>
      <c r="B24" s="329"/>
      <c r="C24" s="329"/>
      <c r="D24" s="329"/>
      <c r="E24" s="330"/>
      <c r="F24" s="27">
        <f>+F23*9%</f>
        <v>9270</v>
      </c>
    </row>
    <row r="25" spans="1:15" ht="16.5">
      <c r="A25" s="328" t="s">
        <v>16</v>
      </c>
      <c r="B25" s="329"/>
      <c r="C25" s="329"/>
      <c r="D25" s="329"/>
      <c r="E25" s="330"/>
      <c r="F25" s="27">
        <f>+F23*9%</f>
        <v>9270</v>
      </c>
    </row>
    <row r="26" spans="1:15" ht="17.45" customHeight="1">
      <c r="A26" s="331" t="s">
        <v>17</v>
      </c>
      <c r="B26" s="332"/>
      <c r="C26" s="332"/>
      <c r="D26" s="332"/>
      <c r="E26" s="333"/>
      <c r="F26" s="28">
        <f>SUM(F23:F25)</f>
        <v>121540</v>
      </c>
    </row>
    <row r="27" spans="1:15" ht="33" customHeight="1">
      <c r="A27" s="263" t="s">
        <v>158</v>
      </c>
      <c r="B27" s="264"/>
      <c r="C27" s="264"/>
      <c r="D27" s="264"/>
      <c r="E27" s="264"/>
      <c r="F27" s="265"/>
    </row>
    <row r="28" spans="1:15" ht="15" customHeight="1">
      <c r="A28" s="266" t="s">
        <v>18</v>
      </c>
      <c r="B28" s="267"/>
      <c r="C28" s="268" t="s">
        <v>19</v>
      </c>
      <c r="D28" s="269"/>
      <c r="E28" s="269"/>
      <c r="F28" s="270"/>
      <c r="L28" s="278"/>
      <c r="M28" s="278"/>
      <c r="N28" s="278"/>
      <c r="O28" s="278"/>
    </row>
    <row r="29" spans="1:15" ht="15" customHeight="1">
      <c r="A29" s="279" t="s">
        <v>159</v>
      </c>
      <c r="B29" s="278"/>
      <c r="C29" s="279" t="s">
        <v>21</v>
      </c>
      <c r="D29" s="278"/>
      <c r="E29" s="278"/>
      <c r="F29" s="280"/>
    </row>
    <row r="30" spans="1:15" ht="15" customHeight="1">
      <c r="A30" s="279" t="s">
        <v>160</v>
      </c>
      <c r="B30" s="278"/>
      <c r="C30" s="279" t="s">
        <v>23</v>
      </c>
      <c r="D30" s="278"/>
      <c r="E30" s="278"/>
      <c r="F30" s="280"/>
    </row>
    <row r="31" spans="1:15" ht="15" customHeight="1">
      <c r="A31" s="49" t="s">
        <v>162</v>
      </c>
      <c r="B31" s="47"/>
      <c r="C31" s="279" t="s">
        <v>163</v>
      </c>
      <c r="D31" s="278"/>
      <c r="E31" s="278"/>
      <c r="F31" s="280"/>
    </row>
    <row r="32" spans="1:15" ht="15" customHeight="1">
      <c r="A32" s="284" t="s">
        <v>161</v>
      </c>
      <c r="B32" s="285"/>
      <c r="C32" s="279" t="s">
        <v>164</v>
      </c>
      <c r="D32" s="278"/>
      <c r="E32" s="278"/>
      <c r="F32" s="280"/>
    </row>
    <row r="33" spans="1:6" ht="27" customHeight="1">
      <c r="A33" s="271" t="s">
        <v>26</v>
      </c>
      <c r="B33" s="272"/>
      <c r="C33" s="272"/>
      <c r="D33" s="272"/>
      <c r="E33" s="272"/>
      <c r="F33" s="273"/>
    </row>
    <row r="34" spans="1:6" ht="26.45" customHeight="1">
      <c r="A34" s="274" t="s">
        <v>27</v>
      </c>
      <c r="B34" s="275"/>
      <c r="C34" s="275"/>
      <c r="D34" s="275"/>
      <c r="E34" s="275"/>
      <c r="F34" s="276"/>
    </row>
  </sheetData>
  <mergeCells count="24">
    <mergeCell ref="B1:F1"/>
    <mergeCell ref="A2:F2"/>
    <mergeCell ref="C3:F3"/>
    <mergeCell ref="C5:F5"/>
    <mergeCell ref="C6:F6"/>
    <mergeCell ref="L28:O28"/>
    <mergeCell ref="A29:B29"/>
    <mergeCell ref="C29:F29"/>
    <mergeCell ref="A30:B30"/>
    <mergeCell ref="C30:F30"/>
    <mergeCell ref="A28:B28"/>
    <mergeCell ref="C28:F28"/>
    <mergeCell ref="A33:F33"/>
    <mergeCell ref="A34:F34"/>
    <mergeCell ref="C4:F4"/>
    <mergeCell ref="B3:B4"/>
    <mergeCell ref="C31:F31"/>
    <mergeCell ref="A32:B32"/>
    <mergeCell ref="C32:F32"/>
    <mergeCell ref="A24:E24"/>
    <mergeCell ref="A25:E25"/>
    <mergeCell ref="A26:E26"/>
    <mergeCell ref="A27:F27"/>
    <mergeCell ref="A23:E23"/>
  </mergeCells>
  <pageMargins left="0.7" right="0.7" top="0.75" bottom="0.75" header="0.3" footer="0.3"/>
  <pageSetup orientation="portrait"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0"/>
  <sheetViews>
    <sheetView workbookViewId="0">
      <selection activeCell="L17" sqref="L17"/>
    </sheetView>
  </sheetViews>
  <sheetFormatPr defaultRowHeight="15"/>
  <cols>
    <col min="1" max="1" width="5.5703125" customWidth="1"/>
    <col min="2" max="2" width="40.140625" customWidth="1"/>
    <col min="3" max="3" width="8.570312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118</v>
      </c>
      <c r="D3" s="255"/>
      <c r="E3" s="255"/>
      <c r="F3" s="256"/>
    </row>
    <row r="4" spans="1:6" ht="29.25" customHeight="1">
      <c r="A4" s="6"/>
      <c r="B4" s="7" t="s">
        <v>8</v>
      </c>
      <c r="C4" s="254" t="s">
        <v>122</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46" t="s">
        <v>128</v>
      </c>
      <c r="C8" s="26">
        <v>1</v>
      </c>
      <c r="D8" s="26" t="s">
        <v>60</v>
      </c>
      <c r="E8" s="12">
        <v>13250</v>
      </c>
      <c r="F8" s="13">
        <f>+C8*E8</f>
        <v>13250</v>
      </c>
    </row>
    <row r="9" spans="1:6" ht="16.5">
      <c r="A9" s="10"/>
      <c r="B9" s="46" t="s">
        <v>54</v>
      </c>
      <c r="C9" s="26"/>
      <c r="D9" s="26"/>
      <c r="E9" s="12"/>
      <c r="F9" s="13"/>
    </row>
    <row r="10" spans="1:6" ht="16.5">
      <c r="A10" s="14"/>
      <c r="B10" s="20" t="s">
        <v>131</v>
      </c>
      <c r="C10" s="26"/>
      <c r="D10" s="17"/>
      <c r="E10" s="12"/>
      <c r="F10" s="13"/>
    </row>
    <row r="11" spans="1:6" ht="16.5">
      <c r="A11" s="14"/>
      <c r="B11" s="20" t="s">
        <v>130</v>
      </c>
      <c r="C11" s="26"/>
      <c r="D11" s="17"/>
      <c r="E11" s="12"/>
      <c r="F11" s="13"/>
    </row>
    <row r="12" spans="1:6" ht="16.5">
      <c r="A12" s="10"/>
      <c r="B12" s="20" t="s">
        <v>129</v>
      </c>
      <c r="C12" s="26"/>
      <c r="D12" s="3"/>
      <c r="E12" s="12"/>
      <c r="F12" s="13"/>
    </row>
    <row r="13" spans="1:6" ht="16.5">
      <c r="A13" s="10"/>
      <c r="B13" s="44" t="s">
        <v>132</v>
      </c>
      <c r="C13" s="3"/>
      <c r="D13" s="3"/>
      <c r="E13" s="12"/>
      <c r="F13" s="13"/>
    </row>
    <row r="14" spans="1:6" ht="16.5">
      <c r="A14" s="10">
        <v>2</v>
      </c>
      <c r="B14" s="44" t="s">
        <v>133</v>
      </c>
      <c r="C14" s="3">
        <v>1</v>
      </c>
      <c r="D14" s="3" t="s">
        <v>60</v>
      </c>
      <c r="E14" s="12">
        <v>11500</v>
      </c>
      <c r="F14" s="13">
        <f>+C14*E14</f>
        <v>11500</v>
      </c>
    </row>
    <row r="15" spans="1:6" ht="16.5">
      <c r="A15" s="10"/>
      <c r="B15" s="44" t="s">
        <v>134</v>
      </c>
      <c r="C15" s="3"/>
      <c r="D15" s="3"/>
      <c r="E15" s="12"/>
      <c r="F15" s="13"/>
    </row>
    <row r="16" spans="1:6" ht="16.5">
      <c r="A16" s="10">
        <v>3</v>
      </c>
      <c r="B16" s="20" t="s">
        <v>135</v>
      </c>
      <c r="C16" s="3">
        <v>1</v>
      </c>
      <c r="D16" s="3" t="s">
        <v>60</v>
      </c>
      <c r="E16" s="12">
        <v>6500</v>
      </c>
      <c r="F16" s="13">
        <f>+C16*E16</f>
        <v>6500</v>
      </c>
    </row>
    <row r="17" spans="1:6" ht="16.5">
      <c r="A17" s="10"/>
      <c r="B17" s="44" t="s">
        <v>136</v>
      </c>
      <c r="C17" s="3"/>
      <c r="D17" s="3"/>
      <c r="E17" s="12"/>
      <c r="F17" s="13"/>
    </row>
    <row r="18" spans="1:6" ht="16.5">
      <c r="A18" s="10"/>
      <c r="B18" s="20"/>
      <c r="C18" s="26"/>
      <c r="D18" s="3"/>
      <c r="E18" s="12"/>
      <c r="F18" s="13"/>
    </row>
    <row r="19" spans="1:6" ht="16.5">
      <c r="A19" s="21"/>
      <c r="B19" s="22"/>
      <c r="C19" s="23"/>
      <c r="D19" s="23"/>
      <c r="E19" s="24"/>
      <c r="F19" s="25"/>
    </row>
    <row r="20" spans="1:6" ht="16.5">
      <c r="A20" s="328" t="s">
        <v>14</v>
      </c>
      <c r="B20" s="329"/>
      <c r="C20" s="329"/>
      <c r="D20" s="329"/>
      <c r="E20" s="330"/>
      <c r="F20" s="27">
        <f>SUM(F7:F19)</f>
        <v>31250</v>
      </c>
    </row>
    <row r="21" spans="1:6" ht="16.5">
      <c r="A21" s="328" t="s">
        <v>15</v>
      </c>
      <c r="B21" s="329"/>
      <c r="C21" s="329"/>
      <c r="D21" s="329"/>
      <c r="E21" s="330"/>
      <c r="F21" s="27">
        <f>+F20*9%</f>
        <v>2812.5</v>
      </c>
    </row>
    <row r="22" spans="1:6" ht="16.5">
      <c r="A22" s="328" t="s">
        <v>16</v>
      </c>
      <c r="B22" s="329"/>
      <c r="C22" s="329"/>
      <c r="D22" s="329"/>
      <c r="E22" s="330"/>
      <c r="F22" s="27">
        <f>+F20*9%</f>
        <v>2812.5</v>
      </c>
    </row>
    <row r="23" spans="1:6" ht="17.45" customHeight="1">
      <c r="A23" s="331" t="s">
        <v>17</v>
      </c>
      <c r="B23" s="332"/>
      <c r="C23" s="332"/>
      <c r="D23" s="332"/>
      <c r="E23" s="333"/>
      <c r="F23" s="28">
        <f>SUM(F20:F22)</f>
        <v>36875</v>
      </c>
    </row>
    <row r="24" spans="1:6" ht="33" customHeight="1">
      <c r="A24" s="263" t="s">
        <v>137</v>
      </c>
      <c r="B24" s="264"/>
      <c r="C24" s="264"/>
      <c r="D24" s="264"/>
      <c r="E24" s="264"/>
      <c r="F24" s="265"/>
    </row>
    <row r="25" spans="1:6" ht="15" customHeight="1">
      <c r="A25" s="266" t="s">
        <v>18</v>
      </c>
      <c r="B25" s="267"/>
      <c r="C25" s="268" t="s">
        <v>19</v>
      </c>
      <c r="D25" s="269"/>
      <c r="E25" s="269"/>
      <c r="F25" s="270"/>
    </row>
    <row r="26" spans="1:6" ht="15" customHeight="1">
      <c r="A26" s="277" t="s">
        <v>20</v>
      </c>
      <c r="B26" s="278"/>
      <c r="C26" s="279" t="s">
        <v>21</v>
      </c>
      <c r="D26" s="278"/>
      <c r="E26" s="278"/>
      <c r="F26" s="280"/>
    </row>
    <row r="27" spans="1:6" ht="15" customHeight="1">
      <c r="A27" s="277" t="s">
        <v>22</v>
      </c>
      <c r="B27" s="278"/>
      <c r="C27" s="279" t="s">
        <v>23</v>
      </c>
      <c r="D27" s="278"/>
      <c r="E27" s="278"/>
      <c r="F27" s="280"/>
    </row>
    <row r="28" spans="1:6" ht="15" customHeight="1">
      <c r="A28" s="284" t="s">
        <v>24</v>
      </c>
      <c r="B28" s="285"/>
      <c r="C28" s="284" t="s">
        <v>25</v>
      </c>
      <c r="D28" s="285"/>
      <c r="E28" s="285"/>
      <c r="F28" s="286"/>
    </row>
    <row r="29" spans="1:6" ht="27" customHeight="1">
      <c r="A29" s="271" t="s">
        <v>26</v>
      </c>
      <c r="B29" s="272"/>
      <c r="C29" s="272"/>
      <c r="D29" s="272"/>
      <c r="E29" s="272"/>
      <c r="F29" s="273"/>
    </row>
    <row r="30" spans="1:6" ht="26.45" customHeight="1">
      <c r="A30" s="274" t="s">
        <v>27</v>
      </c>
      <c r="B30" s="275"/>
      <c r="C30" s="275"/>
      <c r="D30" s="275"/>
      <c r="E30" s="275"/>
      <c r="F30" s="276"/>
    </row>
  </sheetData>
  <mergeCells count="20">
    <mergeCell ref="A29:F29"/>
    <mergeCell ref="A30:F30"/>
    <mergeCell ref="A26:B26"/>
    <mergeCell ref="C26:F26"/>
    <mergeCell ref="A27:B27"/>
    <mergeCell ref="C27:F27"/>
    <mergeCell ref="A28:B28"/>
    <mergeCell ref="C28:F28"/>
    <mergeCell ref="A21:E21"/>
    <mergeCell ref="A22:E22"/>
    <mergeCell ref="A23:E23"/>
    <mergeCell ref="A24:F24"/>
    <mergeCell ref="A25:B25"/>
    <mergeCell ref="C25:F25"/>
    <mergeCell ref="A20:E20"/>
    <mergeCell ref="B1:F1"/>
    <mergeCell ref="A2:F2"/>
    <mergeCell ref="C3:F3"/>
    <mergeCell ref="C4:F4"/>
    <mergeCell ref="C5:F5"/>
  </mergeCells>
  <pageMargins left="0.7" right="0.7" top="0.75" bottom="0.75" header="0.3" footer="0.3"/>
  <pageSetup orientation="portrait"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28"/>
  <sheetViews>
    <sheetView workbookViewId="0">
      <selection activeCell="C11" sqref="C11"/>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106</v>
      </c>
      <c r="C3" s="254" t="s">
        <v>105</v>
      </c>
      <c r="D3" s="255"/>
      <c r="E3" s="255"/>
      <c r="F3" s="256"/>
    </row>
    <row r="4" spans="1:6" ht="29.25" customHeight="1">
      <c r="A4" s="6"/>
      <c r="B4" s="7" t="s">
        <v>107</v>
      </c>
      <c r="C4" s="254" t="s">
        <v>122</v>
      </c>
      <c r="D4" s="255"/>
      <c r="E4" s="255"/>
      <c r="F4" s="256"/>
    </row>
    <row r="5" spans="1:6" ht="16.5" customHeight="1">
      <c r="A5" s="8"/>
      <c r="B5" s="2" t="s">
        <v>108</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c r="B8" s="45" t="s">
        <v>124</v>
      </c>
      <c r="C8" s="26"/>
      <c r="D8" s="3"/>
      <c r="E8" s="12"/>
      <c r="F8" s="13"/>
    </row>
    <row r="9" spans="1:6" ht="16.5">
      <c r="A9" s="10">
        <v>1</v>
      </c>
      <c r="B9" s="20" t="s">
        <v>109</v>
      </c>
      <c r="C9" s="26">
        <v>1</v>
      </c>
      <c r="D9" s="3" t="s">
        <v>13</v>
      </c>
      <c r="E9" s="12">
        <v>2000</v>
      </c>
      <c r="F9" s="13">
        <f>+C9*E9</f>
        <v>2000</v>
      </c>
    </row>
    <row r="10" spans="1:6" ht="16.5">
      <c r="A10" s="14">
        <v>2</v>
      </c>
      <c r="B10" s="20" t="s">
        <v>125</v>
      </c>
      <c r="C10" s="26">
        <v>1</v>
      </c>
      <c r="D10" s="3" t="s">
        <v>112</v>
      </c>
      <c r="E10" s="12">
        <v>1000</v>
      </c>
      <c r="F10" s="13">
        <f>+C10*E10</f>
        <v>1000</v>
      </c>
    </row>
    <row r="11" spans="1:6" ht="16.5">
      <c r="A11" s="14">
        <v>3</v>
      </c>
      <c r="B11" s="20" t="s">
        <v>110</v>
      </c>
      <c r="C11" s="26">
        <v>10</v>
      </c>
      <c r="D11" s="3" t="s">
        <v>123</v>
      </c>
      <c r="E11" s="12">
        <v>750</v>
      </c>
      <c r="F11" s="13">
        <f>+C11*E11</f>
        <v>7500</v>
      </c>
    </row>
    <row r="12" spans="1:6" ht="16.5">
      <c r="A12" s="14">
        <v>4</v>
      </c>
      <c r="B12" s="20" t="s">
        <v>111</v>
      </c>
      <c r="C12" s="26"/>
      <c r="D12" s="3"/>
      <c r="E12" s="12">
        <v>1600</v>
      </c>
      <c r="F12" s="13">
        <v>1600</v>
      </c>
    </row>
    <row r="13" spans="1:6" ht="16.5">
      <c r="A13" s="14"/>
      <c r="B13" s="20"/>
      <c r="C13" s="26"/>
      <c r="D13" s="17"/>
      <c r="E13" s="12"/>
      <c r="F13" s="19"/>
    </row>
    <row r="14" spans="1:6" ht="16.5">
      <c r="A14" s="10"/>
      <c r="B14" s="20"/>
      <c r="C14" s="26"/>
      <c r="D14" s="3"/>
      <c r="E14" s="12"/>
      <c r="F14" s="13"/>
    </row>
    <row r="15" spans="1:6" ht="16.5">
      <c r="A15" s="10"/>
      <c r="B15" s="20"/>
      <c r="C15" s="26"/>
      <c r="D15" s="3"/>
      <c r="E15" s="12"/>
      <c r="F15" s="13"/>
    </row>
    <row r="16" spans="1:6" ht="16.5">
      <c r="A16" s="10"/>
      <c r="B16" s="20"/>
      <c r="C16" s="26"/>
      <c r="D16" s="3"/>
      <c r="E16" s="12"/>
      <c r="F16" s="13"/>
    </row>
    <row r="17" spans="1:6" ht="16.5">
      <c r="A17" s="21"/>
      <c r="B17" s="22"/>
      <c r="C17" s="23"/>
      <c r="D17" s="23"/>
      <c r="E17" s="24"/>
      <c r="F17" s="25"/>
    </row>
    <row r="18" spans="1:6" ht="16.5">
      <c r="A18" s="328" t="s">
        <v>14</v>
      </c>
      <c r="B18" s="329"/>
      <c r="C18" s="329"/>
      <c r="D18" s="329"/>
      <c r="E18" s="330"/>
      <c r="F18" s="27">
        <f>SUM(F7:F17)</f>
        <v>12100</v>
      </c>
    </row>
    <row r="19" spans="1:6" ht="16.5">
      <c r="A19" s="328" t="s">
        <v>15</v>
      </c>
      <c r="B19" s="329"/>
      <c r="C19" s="329"/>
      <c r="D19" s="329"/>
      <c r="E19" s="330"/>
      <c r="F19" s="27">
        <f>+F18*9%</f>
        <v>1089</v>
      </c>
    </row>
    <row r="20" spans="1:6" ht="16.5">
      <c r="A20" s="328" t="s">
        <v>16</v>
      </c>
      <c r="B20" s="329"/>
      <c r="C20" s="329"/>
      <c r="D20" s="329"/>
      <c r="E20" s="330"/>
      <c r="F20" s="27">
        <f>+F18*9%</f>
        <v>1089</v>
      </c>
    </row>
    <row r="21" spans="1:6" ht="17.45" customHeight="1">
      <c r="A21" s="331" t="s">
        <v>17</v>
      </c>
      <c r="B21" s="332"/>
      <c r="C21" s="332"/>
      <c r="D21" s="332"/>
      <c r="E21" s="333"/>
      <c r="F21" s="28">
        <f>SUM(F18:F20)</f>
        <v>14278</v>
      </c>
    </row>
    <row r="22" spans="1:6" ht="33" customHeight="1">
      <c r="A22" s="263" t="s">
        <v>126</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29"/>
  <sheetViews>
    <sheetView workbookViewId="0">
      <selection activeCell="K14" sqref="K14"/>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101</v>
      </c>
      <c r="D3" s="255"/>
      <c r="E3" s="255"/>
      <c r="F3" s="256"/>
    </row>
    <row r="4" spans="1:6" ht="29.25" customHeight="1">
      <c r="A4" s="6"/>
      <c r="B4" s="7" t="s">
        <v>8</v>
      </c>
      <c r="C4" s="254" t="s">
        <v>91</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43" t="s">
        <v>102</v>
      </c>
      <c r="C8" s="26">
        <v>6</v>
      </c>
      <c r="D8" s="3" t="s">
        <v>13</v>
      </c>
      <c r="E8" s="12">
        <v>5750</v>
      </c>
      <c r="F8" s="13">
        <f>+C8*E8</f>
        <v>34500</v>
      </c>
    </row>
    <row r="9" spans="1:6" ht="16.5">
      <c r="A9" s="10"/>
      <c r="B9" s="20" t="s">
        <v>103</v>
      </c>
      <c r="C9" s="26"/>
      <c r="D9" s="3"/>
      <c r="E9" s="12"/>
      <c r="F9" s="13"/>
    </row>
    <row r="10" spans="1:6" ht="16.5" customHeight="1">
      <c r="A10" s="10"/>
      <c r="B10" s="20"/>
      <c r="C10" s="26"/>
      <c r="D10" s="3"/>
      <c r="E10" s="12"/>
      <c r="F10" s="13"/>
    </row>
    <row r="11" spans="1:6" ht="16.5">
      <c r="A11" s="14"/>
      <c r="B11" s="20"/>
      <c r="C11" s="26"/>
      <c r="D11" s="17"/>
      <c r="E11" s="12"/>
      <c r="F11" s="19"/>
    </row>
    <row r="12" spans="1:6" ht="16.5">
      <c r="A12" s="14"/>
      <c r="B12" s="20"/>
      <c r="C12" s="26"/>
      <c r="D12" s="17"/>
      <c r="E12" s="12"/>
      <c r="F12" s="19"/>
    </row>
    <row r="13" spans="1:6" ht="16.5">
      <c r="A13" s="14"/>
      <c r="B13" s="20"/>
      <c r="C13" s="26"/>
      <c r="D13" s="17"/>
      <c r="E13" s="12"/>
      <c r="F13" s="19"/>
    </row>
    <row r="14" spans="1:6" ht="16.5">
      <c r="A14" s="14"/>
      <c r="B14" s="20"/>
      <c r="C14" s="26"/>
      <c r="D14" s="17"/>
      <c r="E14" s="12"/>
      <c r="F14" s="19"/>
    </row>
    <row r="15" spans="1:6" ht="16.5">
      <c r="A15" s="10"/>
      <c r="B15" s="20"/>
      <c r="C15" s="26"/>
      <c r="D15" s="3"/>
      <c r="E15" s="12"/>
      <c r="F15" s="13"/>
    </row>
    <row r="16" spans="1:6" ht="16.5">
      <c r="A16" s="10"/>
      <c r="B16" s="20"/>
      <c r="C16" s="26"/>
      <c r="D16" s="3"/>
      <c r="E16" s="12"/>
      <c r="F16" s="13"/>
    </row>
    <row r="17" spans="1:6" ht="16.5">
      <c r="A17" s="10"/>
      <c r="B17" s="20"/>
      <c r="C17" s="26"/>
      <c r="D17" s="3"/>
      <c r="E17" s="12"/>
      <c r="F17" s="13"/>
    </row>
    <row r="18" spans="1:6" ht="16.5">
      <c r="A18" s="21"/>
      <c r="B18" s="22"/>
      <c r="C18" s="23"/>
      <c r="D18" s="23"/>
      <c r="E18" s="24"/>
      <c r="F18" s="25"/>
    </row>
    <row r="19" spans="1:6" ht="16.5">
      <c r="A19" s="328" t="s">
        <v>14</v>
      </c>
      <c r="B19" s="329"/>
      <c r="C19" s="329"/>
      <c r="D19" s="329"/>
      <c r="E19" s="330"/>
      <c r="F19" s="27">
        <f>SUM(F7:F18)</f>
        <v>34500</v>
      </c>
    </row>
    <row r="20" spans="1:6" ht="16.5">
      <c r="A20" s="328" t="s">
        <v>15</v>
      </c>
      <c r="B20" s="329"/>
      <c r="C20" s="329"/>
      <c r="D20" s="329"/>
      <c r="E20" s="330"/>
      <c r="F20" s="27">
        <f>+F19*9%</f>
        <v>3105</v>
      </c>
    </row>
    <row r="21" spans="1:6" ht="16.5">
      <c r="A21" s="328" t="s">
        <v>16</v>
      </c>
      <c r="B21" s="329"/>
      <c r="C21" s="329"/>
      <c r="D21" s="329"/>
      <c r="E21" s="330"/>
      <c r="F21" s="27">
        <f>+F19*9%</f>
        <v>3105</v>
      </c>
    </row>
    <row r="22" spans="1:6" ht="17.45" customHeight="1">
      <c r="A22" s="331" t="s">
        <v>17</v>
      </c>
      <c r="B22" s="332"/>
      <c r="C22" s="332"/>
      <c r="D22" s="332"/>
      <c r="E22" s="333"/>
      <c r="F22" s="28">
        <f>SUM(F19:F21)</f>
        <v>40710</v>
      </c>
    </row>
    <row r="23" spans="1:6" ht="33" customHeight="1">
      <c r="A23" s="263" t="s">
        <v>104</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28:F28"/>
    <mergeCell ref="A29:F29"/>
    <mergeCell ref="A25:B25"/>
    <mergeCell ref="C25:F25"/>
    <mergeCell ref="A26:B26"/>
    <mergeCell ref="C26:F26"/>
    <mergeCell ref="A27:B27"/>
    <mergeCell ref="C27:F27"/>
    <mergeCell ref="A20:E20"/>
    <mergeCell ref="A21:E21"/>
    <mergeCell ref="A22:E22"/>
    <mergeCell ref="A23:F23"/>
    <mergeCell ref="A24:B24"/>
    <mergeCell ref="C24:F24"/>
    <mergeCell ref="A19:E19"/>
    <mergeCell ref="B1:F1"/>
    <mergeCell ref="A2:F2"/>
    <mergeCell ref="C3:F3"/>
    <mergeCell ref="C4:F4"/>
    <mergeCell ref="C5:F5"/>
  </mergeCells>
  <pageMargins left="0.7" right="0.7" top="0.75" bottom="0.75" header="0.3" footer="0.3"/>
  <pageSetup orientation="portrait"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29"/>
  <sheetViews>
    <sheetView workbookViewId="0">
      <selection activeCell="M7" sqref="M7"/>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97</v>
      </c>
      <c r="D3" s="255"/>
      <c r="E3" s="255"/>
      <c r="F3" s="256"/>
    </row>
    <row r="4" spans="1:6" ht="29.25" customHeight="1">
      <c r="A4" s="6"/>
      <c r="B4" s="7" t="s">
        <v>8</v>
      </c>
      <c r="C4" s="254" t="s">
        <v>91</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43" t="s">
        <v>98</v>
      </c>
      <c r="C8" s="26">
        <v>4</v>
      </c>
      <c r="D8" s="3" t="s">
        <v>13</v>
      </c>
      <c r="E8" s="12">
        <v>4750</v>
      </c>
      <c r="F8" s="13">
        <f>+C8*E8</f>
        <v>19000</v>
      </c>
    </row>
    <row r="9" spans="1:6" ht="16.5">
      <c r="A9" s="10"/>
      <c r="B9" s="20" t="s">
        <v>99</v>
      </c>
      <c r="C9" s="26"/>
      <c r="D9" s="3"/>
      <c r="E9" s="12"/>
      <c r="F9" s="13"/>
    </row>
    <row r="10" spans="1:6" ht="16.5" customHeight="1">
      <c r="A10" s="10"/>
      <c r="B10" s="20"/>
      <c r="C10" s="26"/>
      <c r="D10" s="3"/>
      <c r="E10" s="12"/>
      <c r="F10" s="13"/>
    </row>
    <row r="11" spans="1:6" ht="16.5">
      <c r="A11" s="14"/>
      <c r="B11" s="20"/>
      <c r="C11" s="26"/>
      <c r="D11" s="17"/>
      <c r="E11" s="12"/>
      <c r="F11" s="19"/>
    </row>
    <row r="12" spans="1:6" ht="16.5">
      <c r="A12" s="14"/>
      <c r="B12" s="20"/>
      <c r="C12" s="26"/>
      <c r="D12" s="17"/>
      <c r="E12" s="12"/>
      <c r="F12" s="19"/>
    </row>
    <row r="13" spans="1:6" ht="16.5">
      <c r="A13" s="14"/>
      <c r="B13" s="20"/>
      <c r="C13" s="26"/>
      <c r="D13" s="17"/>
      <c r="E13" s="12"/>
      <c r="F13" s="19"/>
    </row>
    <row r="14" spans="1:6" ht="16.5">
      <c r="A14" s="14"/>
      <c r="B14" s="20"/>
      <c r="C14" s="26"/>
      <c r="D14" s="17"/>
      <c r="E14" s="12"/>
      <c r="F14" s="19"/>
    </row>
    <row r="15" spans="1:6" ht="16.5">
      <c r="A15" s="10"/>
      <c r="B15" s="20"/>
      <c r="C15" s="26"/>
      <c r="D15" s="3"/>
      <c r="E15" s="12"/>
      <c r="F15" s="13"/>
    </row>
    <row r="16" spans="1:6" ht="16.5">
      <c r="A16" s="10"/>
      <c r="B16" s="20"/>
      <c r="C16" s="26"/>
      <c r="D16" s="3"/>
      <c r="E16" s="12"/>
      <c r="F16" s="13"/>
    </row>
    <row r="17" spans="1:6" ht="16.5">
      <c r="A17" s="10"/>
      <c r="B17" s="20"/>
      <c r="C17" s="26"/>
      <c r="D17" s="3"/>
      <c r="E17" s="12"/>
      <c r="F17" s="13"/>
    </row>
    <row r="18" spans="1:6" ht="16.5">
      <c r="A18" s="21"/>
      <c r="B18" s="22"/>
      <c r="C18" s="23"/>
      <c r="D18" s="23"/>
      <c r="E18" s="24"/>
      <c r="F18" s="25"/>
    </row>
    <row r="19" spans="1:6" ht="16.5">
      <c r="A19" s="328" t="s">
        <v>14</v>
      </c>
      <c r="B19" s="329"/>
      <c r="C19" s="329"/>
      <c r="D19" s="329"/>
      <c r="E19" s="330"/>
      <c r="F19" s="27">
        <f>SUM(F7:F18)</f>
        <v>19000</v>
      </c>
    </row>
    <row r="20" spans="1:6" ht="16.5">
      <c r="A20" s="328" t="s">
        <v>15</v>
      </c>
      <c r="B20" s="329"/>
      <c r="C20" s="329"/>
      <c r="D20" s="329"/>
      <c r="E20" s="330"/>
      <c r="F20" s="27">
        <f>+F19*9%</f>
        <v>1710</v>
      </c>
    </row>
    <row r="21" spans="1:6" ht="16.5">
      <c r="A21" s="328" t="s">
        <v>16</v>
      </c>
      <c r="B21" s="329"/>
      <c r="C21" s="329"/>
      <c r="D21" s="329"/>
      <c r="E21" s="330"/>
      <c r="F21" s="27">
        <f>+F19*9%</f>
        <v>1710</v>
      </c>
    </row>
    <row r="22" spans="1:6" ht="17.45" customHeight="1">
      <c r="A22" s="331" t="s">
        <v>17</v>
      </c>
      <c r="B22" s="332"/>
      <c r="C22" s="332"/>
      <c r="D22" s="332"/>
      <c r="E22" s="333"/>
      <c r="F22" s="28">
        <f>SUM(F19:F21)</f>
        <v>22420</v>
      </c>
    </row>
    <row r="23" spans="1:6" ht="33" customHeight="1">
      <c r="A23" s="263" t="s">
        <v>100</v>
      </c>
      <c r="B23" s="264"/>
      <c r="C23" s="264"/>
      <c r="D23" s="264"/>
      <c r="E23" s="264"/>
      <c r="F23" s="265"/>
    </row>
    <row r="24" spans="1:6" ht="15" customHeight="1">
      <c r="A24" s="266" t="s">
        <v>18</v>
      </c>
      <c r="B24" s="267"/>
      <c r="C24" s="268" t="s">
        <v>19</v>
      </c>
      <c r="D24" s="269"/>
      <c r="E24" s="269"/>
      <c r="F24" s="270"/>
    </row>
    <row r="25" spans="1:6" ht="15" customHeight="1">
      <c r="A25" s="277" t="s">
        <v>20</v>
      </c>
      <c r="B25" s="278"/>
      <c r="C25" s="279" t="s">
        <v>21</v>
      </c>
      <c r="D25" s="278"/>
      <c r="E25" s="278"/>
      <c r="F25" s="280"/>
    </row>
    <row r="26" spans="1:6" ht="15" customHeight="1">
      <c r="A26" s="277" t="s">
        <v>22</v>
      </c>
      <c r="B26" s="278"/>
      <c r="C26" s="279" t="s">
        <v>23</v>
      </c>
      <c r="D26" s="278"/>
      <c r="E26" s="278"/>
      <c r="F26" s="280"/>
    </row>
    <row r="27" spans="1:6" ht="15" customHeight="1">
      <c r="A27" s="284" t="s">
        <v>24</v>
      </c>
      <c r="B27" s="285"/>
      <c r="C27" s="284" t="s">
        <v>25</v>
      </c>
      <c r="D27" s="285"/>
      <c r="E27" s="285"/>
      <c r="F27" s="286"/>
    </row>
    <row r="28" spans="1:6" ht="27" customHeight="1">
      <c r="A28" s="271" t="s">
        <v>26</v>
      </c>
      <c r="B28" s="272"/>
      <c r="C28" s="272"/>
      <c r="D28" s="272"/>
      <c r="E28" s="272"/>
      <c r="F28" s="273"/>
    </row>
    <row r="29" spans="1:6" ht="26.45" customHeight="1">
      <c r="A29" s="274" t="s">
        <v>27</v>
      </c>
      <c r="B29" s="275"/>
      <c r="C29" s="275"/>
      <c r="D29" s="275"/>
      <c r="E29" s="275"/>
      <c r="F29" s="276"/>
    </row>
  </sheetData>
  <mergeCells count="20">
    <mergeCell ref="A19:E19"/>
    <mergeCell ref="B1:F1"/>
    <mergeCell ref="A2:F2"/>
    <mergeCell ref="C3:F3"/>
    <mergeCell ref="C4:F4"/>
    <mergeCell ref="C5:F5"/>
    <mergeCell ref="A20:E20"/>
    <mergeCell ref="A21:E21"/>
    <mergeCell ref="A22:E22"/>
    <mergeCell ref="A23:F23"/>
    <mergeCell ref="A24:B24"/>
    <mergeCell ref="C24:F24"/>
    <mergeCell ref="A28:F28"/>
    <mergeCell ref="A29:F29"/>
    <mergeCell ref="A25:B25"/>
    <mergeCell ref="C25:F25"/>
    <mergeCell ref="A26:B26"/>
    <mergeCell ref="C26:F26"/>
    <mergeCell ref="A27:B27"/>
    <mergeCell ref="C27:F27"/>
  </mergeCells>
  <pageMargins left="0.7" right="0.7" top="0.75" bottom="0.75" header="0.3" footer="0.3"/>
  <pageSetup orientation="portrait"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27"/>
  <sheetViews>
    <sheetView topLeftCell="A4" workbookViewId="0">
      <selection activeCell="L11" sqref="L11"/>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92</v>
      </c>
      <c r="D3" s="255"/>
      <c r="E3" s="255"/>
      <c r="F3" s="256"/>
    </row>
    <row r="4" spans="1:6" ht="29.25" customHeight="1">
      <c r="A4" s="6"/>
      <c r="B4" s="7" t="s">
        <v>8</v>
      </c>
      <c r="C4" s="254" t="s">
        <v>91</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43" t="s">
        <v>93</v>
      </c>
      <c r="C8" s="26">
        <v>1</v>
      </c>
      <c r="D8" s="3" t="s">
        <v>60</v>
      </c>
      <c r="E8" s="12">
        <v>12500</v>
      </c>
      <c r="F8" s="13">
        <f>+C8*E8</f>
        <v>12500</v>
      </c>
    </row>
    <row r="9" spans="1:6" ht="16.5">
      <c r="A9" s="10"/>
      <c r="B9" s="20" t="s">
        <v>54</v>
      </c>
      <c r="C9" s="26"/>
      <c r="D9" s="3"/>
      <c r="E9" s="12"/>
      <c r="F9" s="13"/>
    </row>
    <row r="10" spans="1:6" ht="16.5" customHeight="1">
      <c r="A10" s="10"/>
      <c r="B10" s="20" t="s">
        <v>94</v>
      </c>
      <c r="C10" s="26"/>
      <c r="D10" s="3"/>
      <c r="E10" s="12"/>
      <c r="F10" s="13"/>
    </row>
    <row r="11" spans="1:6" ht="16.5">
      <c r="A11" s="14"/>
      <c r="B11" s="20" t="s">
        <v>95</v>
      </c>
      <c r="C11" s="26"/>
      <c r="D11" s="17"/>
      <c r="E11" s="12"/>
      <c r="F11" s="19"/>
    </row>
    <row r="12" spans="1:6" ht="16.5">
      <c r="A12" s="14"/>
      <c r="B12" s="20"/>
      <c r="C12" s="26"/>
      <c r="D12" s="17"/>
      <c r="E12" s="12"/>
      <c r="F12" s="19"/>
    </row>
    <row r="13" spans="1:6" ht="16.5">
      <c r="A13" s="14"/>
      <c r="B13" s="20"/>
      <c r="C13" s="26"/>
      <c r="D13" s="17"/>
      <c r="E13" s="12"/>
      <c r="F13" s="19"/>
    </row>
    <row r="14" spans="1:6" ht="16.5">
      <c r="A14" s="14"/>
      <c r="B14" s="20"/>
      <c r="C14" s="26"/>
      <c r="D14" s="17"/>
      <c r="E14" s="12"/>
      <c r="F14" s="19"/>
    </row>
    <row r="15" spans="1:6" ht="16.5">
      <c r="A15" s="10"/>
      <c r="B15" s="20"/>
      <c r="C15" s="26"/>
      <c r="D15" s="3"/>
      <c r="E15" s="12"/>
      <c r="F15" s="13"/>
    </row>
    <row r="16" spans="1:6" ht="16.5">
      <c r="A16" s="21"/>
      <c r="B16" s="22"/>
      <c r="C16" s="23"/>
      <c r="D16" s="23"/>
      <c r="E16" s="24"/>
      <c r="F16" s="25"/>
    </row>
    <row r="17" spans="1:6" ht="16.5">
      <c r="A17" s="328" t="s">
        <v>14</v>
      </c>
      <c r="B17" s="329"/>
      <c r="C17" s="329"/>
      <c r="D17" s="329"/>
      <c r="E17" s="330"/>
      <c r="F17" s="27">
        <f>SUM(F7:F16)</f>
        <v>12500</v>
      </c>
    </row>
    <row r="18" spans="1:6" ht="16.5">
      <c r="A18" s="328" t="s">
        <v>15</v>
      </c>
      <c r="B18" s="329"/>
      <c r="C18" s="329"/>
      <c r="D18" s="329"/>
      <c r="E18" s="330"/>
      <c r="F18" s="27">
        <f>+F17*9%</f>
        <v>1125</v>
      </c>
    </row>
    <row r="19" spans="1:6" ht="16.5">
      <c r="A19" s="328" t="s">
        <v>16</v>
      </c>
      <c r="B19" s="329"/>
      <c r="C19" s="329"/>
      <c r="D19" s="329"/>
      <c r="E19" s="330"/>
      <c r="F19" s="27">
        <f>+F17*9%</f>
        <v>1125</v>
      </c>
    </row>
    <row r="20" spans="1:6" ht="17.45" customHeight="1">
      <c r="A20" s="331" t="s">
        <v>17</v>
      </c>
      <c r="B20" s="332"/>
      <c r="C20" s="332"/>
      <c r="D20" s="332"/>
      <c r="E20" s="333"/>
      <c r="F20" s="28">
        <f>SUM(F17:F19)</f>
        <v>14750</v>
      </c>
    </row>
    <row r="21" spans="1:6" ht="33" customHeight="1">
      <c r="A21" s="263" t="s">
        <v>96</v>
      </c>
      <c r="B21" s="264"/>
      <c r="C21" s="264"/>
      <c r="D21" s="264"/>
      <c r="E21" s="264"/>
      <c r="F21" s="265"/>
    </row>
    <row r="22" spans="1:6" ht="15" customHeight="1">
      <c r="A22" s="266" t="s">
        <v>18</v>
      </c>
      <c r="B22" s="267"/>
      <c r="C22" s="268" t="s">
        <v>19</v>
      </c>
      <c r="D22" s="269"/>
      <c r="E22" s="269"/>
      <c r="F22" s="270"/>
    </row>
    <row r="23" spans="1:6" ht="15" customHeight="1">
      <c r="A23" s="277" t="s">
        <v>20</v>
      </c>
      <c r="B23" s="278"/>
      <c r="C23" s="279" t="s">
        <v>21</v>
      </c>
      <c r="D23" s="278"/>
      <c r="E23" s="278"/>
      <c r="F23" s="280"/>
    </row>
    <row r="24" spans="1:6" ht="15" customHeight="1">
      <c r="A24" s="277" t="s">
        <v>22</v>
      </c>
      <c r="B24" s="278"/>
      <c r="C24" s="279" t="s">
        <v>23</v>
      </c>
      <c r="D24" s="278"/>
      <c r="E24" s="278"/>
      <c r="F24" s="280"/>
    </row>
    <row r="25" spans="1:6" ht="15" customHeight="1">
      <c r="A25" s="284" t="s">
        <v>24</v>
      </c>
      <c r="B25" s="285"/>
      <c r="C25" s="284" t="s">
        <v>25</v>
      </c>
      <c r="D25" s="285"/>
      <c r="E25" s="285"/>
      <c r="F25" s="286"/>
    </row>
    <row r="26" spans="1:6" ht="27" customHeight="1">
      <c r="A26" s="271" t="s">
        <v>26</v>
      </c>
      <c r="B26" s="272"/>
      <c r="C26" s="272"/>
      <c r="D26" s="272"/>
      <c r="E26" s="272"/>
      <c r="F26" s="273"/>
    </row>
    <row r="27" spans="1:6" ht="26.45" customHeight="1">
      <c r="A27" s="274" t="s">
        <v>27</v>
      </c>
      <c r="B27" s="275"/>
      <c r="C27" s="275"/>
      <c r="D27" s="275"/>
      <c r="E27" s="275"/>
      <c r="F27" s="276"/>
    </row>
  </sheetData>
  <mergeCells count="20">
    <mergeCell ref="A17:E17"/>
    <mergeCell ref="B1:F1"/>
    <mergeCell ref="A2:F2"/>
    <mergeCell ref="C3:F3"/>
    <mergeCell ref="C4:F4"/>
    <mergeCell ref="C5:F5"/>
    <mergeCell ref="A18:E18"/>
    <mergeCell ref="A19:E19"/>
    <mergeCell ref="A20:E20"/>
    <mergeCell ref="A21:F21"/>
    <mergeCell ref="A22:B22"/>
    <mergeCell ref="C22:F22"/>
    <mergeCell ref="A26:F26"/>
    <mergeCell ref="A27:F27"/>
    <mergeCell ref="A23:B23"/>
    <mergeCell ref="C23:F23"/>
    <mergeCell ref="A24:B24"/>
    <mergeCell ref="C24:F24"/>
    <mergeCell ref="A25:B25"/>
    <mergeCell ref="C25:F25"/>
  </mergeCells>
  <pageMargins left="0.7" right="0.7" top="0.75" bottom="0.75" header="0.3" footer="0.3"/>
  <pageSetup orientation="portrait"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32"/>
  <sheetViews>
    <sheetView topLeftCell="A4" workbookViewId="0">
      <selection activeCell="J4" sqref="J4"/>
    </sheetView>
  </sheetViews>
  <sheetFormatPr defaultRowHeight="15"/>
  <cols>
    <col min="1" max="1" width="5.5703125" customWidth="1"/>
    <col min="2" max="2" width="49"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121</v>
      </c>
      <c r="D3" s="255"/>
      <c r="E3" s="255"/>
      <c r="F3" s="256"/>
    </row>
    <row r="4" spans="1:6" ht="29.25" customHeight="1">
      <c r="A4" s="6"/>
      <c r="B4" s="7" t="s">
        <v>8</v>
      </c>
      <c r="C4" s="254" t="s">
        <v>122</v>
      </c>
      <c r="D4" s="255"/>
      <c r="E4" s="255"/>
      <c r="F4" s="256"/>
    </row>
    <row r="5" spans="1:6" ht="16.5" customHeight="1">
      <c r="A5" s="8"/>
      <c r="B5" s="2" t="s">
        <v>2</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43" t="s">
        <v>78</v>
      </c>
      <c r="C8" s="26" t="s">
        <v>87</v>
      </c>
      <c r="D8" s="3"/>
      <c r="E8" s="12">
        <v>85000</v>
      </c>
      <c r="F8" s="13">
        <v>85000</v>
      </c>
    </row>
    <row r="9" spans="1:6" ht="16.5">
      <c r="A9" s="10"/>
      <c r="B9" s="20" t="s">
        <v>79</v>
      </c>
      <c r="C9" s="26"/>
      <c r="D9" s="3"/>
      <c r="E9" s="12"/>
      <c r="F9" s="13"/>
    </row>
    <row r="10" spans="1:6" ht="16.5" customHeight="1">
      <c r="A10" s="10"/>
      <c r="B10" s="20" t="s">
        <v>80</v>
      </c>
      <c r="C10" s="26"/>
      <c r="D10" s="3"/>
      <c r="E10" s="12"/>
      <c r="F10" s="13"/>
    </row>
    <row r="11" spans="1:6" ht="16.5">
      <c r="A11" s="14"/>
      <c r="B11" s="20" t="s">
        <v>81</v>
      </c>
      <c r="C11" s="26"/>
      <c r="D11" s="17"/>
      <c r="E11" s="12"/>
      <c r="F11" s="19"/>
    </row>
    <row r="12" spans="1:6" ht="16.5">
      <c r="A12" s="14"/>
      <c r="B12" s="20" t="s">
        <v>82</v>
      </c>
      <c r="C12" s="26"/>
      <c r="D12" s="17"/>
      <c r="E12" s="12"/>
      <c r="F12" s="19"/>
    </row>
    <row r="13" spans="1:6" ht="16.5">
      <c r="A13" s="14"/>
      <c r="B13" s="20" t="s">
        <v>83</v>
      </c>
      <c r="C13" s="26"/>
      <c r="D13" s="17"/>
      <c r="E13" s="12"/>
      <c r="F13" s="19"/>
    </row>
    <row r="14" spans="1:6" ht="16.5">
      <c r="A14" s="14"/>
      <c r="B14" s="20" t="s">
        <v>84</v>
      </c>
      <c r="C14" s="26"/>
      <c r="D14" s="17"/>
      <c r="E14" s="12"/>
      <c r="F14" s="19"/>
    </row>
    <row r="15" spans="1:6" ht="16.5">
      <c r="A15" s="10"/>
      <c r="B15" s="20" t="s">
        <v>88</v>
      </c>
      <c r="C15" s="26"/>
      <c r="D15" s="3"/>
      <c r="E15" s="12"/>
      <c r="F15" s="13"/>
    </row>
    <row r="16" spans="1:6" ht="16.5">
      <c r="A16" s="10"/>
      <c r="B16" s="20" t="s">
        <v>85</v>
      </c>
      <c r="C16" s="26"/>
      <c r="D16" s="3"/>
      <c r="E16" s="12"/>
      <c r="F16" s="13"/>
    </row>
    <row r="17" spans="1:6" ht="16.5">
      <c r="A17" s="10"/>
      <c r="B17" s="20" t="s">
        <v>89</v>
      </c>
      <c r="C17" s="26"/>
      <c r="D17" s="3"/>
      <c r="E17" s="12"/>
      <c r="F17" s="13"/>
    </row>
    <row r="18" spans="1:6" ht="16.5">
      <c r="A18" s="10"/>
      <c r="B18" s="20" t="s">
        <v>86</v>
      </c>
      <c r="C18" s="26"/>
      <c r="D18" s="3"/>
      <c r="E18" s="12"/>
      <c r="F18" s="13"/>
    </row>
    <row r="19" spans="1:6" ht="16.5">
      <c r="A19" s="10"/>
      <c r="B19" s="20" t="s">
        <v>90</v>
      </c>
      <c r="C19" s="26"/>
      <c r="D19" s="3"/>
      <c r="E19" s="12"/>
      <c r="F19" s="13"/>
    </row>
    <row r="20" spans="1:6" ht="16.5">
      <c r="A20" s="21"/>
      <c r="B20" s="22"/>
      <c r="C20" s="23"/>
      <c r="D20" s="23"/>
      <c r="E20" s="24"/>
      <c r="F20" s="25"/>
    </row>
    <row r="21" spans="1:6" ht="16.5">
      <c r="A21" s="328" t="s">
        <v>119</v>
      </c>
      <c r="B21" s="329"/>
      <c r="C21" s="329"/>
      <c r="D21" s="329"/>
      <c r="E21" s="330"/>
      <c r="F21" s="12">
        <v>-2500</v>
      </c>
    </row>
    <row r="22" spans="1:6" ht="16.5">
      <c r="A22" s="328" t="s">
        <v>14</v>
      </c>
      <c r="B22" s="329"/>
      <c r="C22" s="329"/>
      <c r="D22" s="329"/>
      <c r="E22" s="330"/>
      <c r="F22" s="27">
        <f>SUM(F7:F21)</f>
        <v>82500</v>
      </c>
    </row>
    <row r="23" spans="1:6" ht="16.5">
      <c r="A23" s="328" t="s">
        <v>15</v>
      </c>
      <c r="B23" s="329"/>
      <c r="C23" s="329"/>
      <c r="D23" s="329"/>
      <c r="E23" s="330"/>
      <c r="F23" s="27">
        <f>+F22*9%</f>
        <v>7425</v>
      </c>
    </row>
    <row r="24" spans="1:6" ht="16.5">
      <c r="A24" s="328" t="s">
        <v>16</v>
      </c>
      <c r="B24" s="329"/>
      <c r="C24" s="329"/>
      <c r="D24" s="329"/>
      <c r="E24" s="330"/>
      <c r="F24" s="27">
        <f>+F22*9%</f>
        <v>7425</v>
      </c>
    </row>
    <row r="25" spans="1:6" ht="17.45" customHeight="1">
      <c r="A25" s="331" t="s">
        <v>17</v>
      </c>
      <c r="B25" s="332"/>
      <c r="C25" s="332"/>
      <c r="D25" s="332"/>
      <c r="E25" s="333"/>
      <c r="F25" s="28">
        <f>SUM(F22:F24)</f>
        <v>97350</v>
      </c>
    </row>
    <row r="26" spans="1:6" ht="33" customHeight="1">
      <c r="A26" s="263" t="s">
        <v>120</v>
      </c>
      <c r="B26" s="264"/>
      <c r="C26" s="264"/>
      <c r="D26" s="264"/>
      <c r="E26" s="264"/>
      <c r="F26" s="265"/>
    </row>
    <row r="27" spans="1:6" ht="15" customHeight="1">
      <c r="A27" s="266" t="s">
        <v>18</v>
      </c>
      <c r="B27" s="267"/>
      <c r="C27" s="268" t="s">
        <v>19</v>
      </c>
      <c r="D27" s="269"/>
      <c r="E27" s="269"/>
      <c r="F27" s="270"/>
    </row>
    <row r="28" spans="1:6" ht="15" customHeight="1">
      <c r="A28" s="277" t="s">
        <v>20</v>
      </c>
      <c r="B28" s="278"/>
      <c r="C28" s="279" t="s">
        <v>21</v>
      </c>
      <c r="D28" s="278"/>
      <c r="E28" s="278"/>
      <c r="F28" s="280"/>
    </row>
    <row r="29" spans="1:6" ht="15" customHeight="1">
      <c r="A29" s="277" t="s">
        <v>22</v>
      </c>
      <c r="B29" s="278"/>
      <c r="C29" s="279" t="s">
        <v>23</v>
      </c>
      <c r="D29" s="278"/>
      <c r="E29" s="278"/>
      <c r="F29" s="280"/>
    </row>
    <row r="30" spans="1:6" ht="15" customHeight="1">
      <c r="A30" s="284" t="s">
        <v>24</v>
      </c>
      <c r="B30" s="285"/>
      <c r="C30" s="284" t="s">
        <v>25</v>
      </c>
      <c r="D30" s="285"/>
      <c r="E30" s="285"/>
      <c r="F30" s="286"/>
    </row>
    <row r="31" spans="1:6" ht="27" customHeight="1">
      <c r="A31" s="271" t="s">
        <v>26</v>
      </c>
      <c r="B31" s="272"/>
      <c r="C31" s="272"/>
      <c r="D31" s="272"/>
      <c r="E31" s="272"/>
      <c r="F31" s="273"/>
    </row>
    <row r="32" spans="1:6" ht="26.45" customHeight="1">
      <c r="A32" s="274" t="s">
        <v>27</v>
      </c>
      <c r="B32" s="275"/>
      <c r="C32" s="275"/>
      <c r="D32" s="275"/>
      <c r="E32" s="275"/>
      <c r="F32" s="276"/>
    </row>
  </sheetData>
  <mergeCells count="21">
    <mergeCell ref="A31:F31"/>
    <mergeCell ref="A32:F32"/>
    <mergeCell ref="A28:B28"/>
    <mergeCell ref="C28:F28"/>
    <mergeCell ref="A29:B29"/>
    <mergeCell ref="C29:F29"/>
    <mergeCell ref="A30:B30"/>
    <mergeCell ref="C30:F30"/>
    <mergeCell ref="A23:E23"/>
    <mergeCell ref="A24:E24"/>
    <mergeCell ref="A25:E25"/>
    <mergeCell ref="A26:F26"/>
    <mergeCell ref="A27:B27"/>
    <mergeCell ref="C27:F27"/>
    <mergeCell ref="A22:E22"/>
    <mergeCell ref="B1:F1"/>
    <mergeCell ref="A2:F2"/>
    <mergeCell ref="C3:F3"/>
    <mergeCell ref="C4:F4"/>
    <mergeCell ref="C5:F5"/>
    <mergeCell ref="A21:E21"/>
  </mergeCells>
  <pageMargins left="0.7" right="0.7" top="0.75" bottom="0.75" header="0.3" footer="0.3"/>
  <pageSetup orientation="portrait"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56"/>
  <sheetViews>
    <sheetView workbookViewId="0">
      <selection activeCell="F8" sqref="F8"/>
    </sheetView>
  </sheetViews>
  <sheetFormatPr defaultRowHeight="15"/>
  <cols>
    <col min="1" max="1" width="5.5703125" customWidth="1"/>
    <col min="2" max="2" width="46.85546875"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61</v>
      </c>
      <c r="C3" s="254" t="s">
        <v>40</v>
      </c>
      <c r="D3" s="255"/>
      <c r="E3" s="255"/>
      <c r="F3" s="256"/>
    </row>
    <row r="4" spans="1:6" ht="29.25" customHeight="1">
      <c r="A4" s="6"/>
      <c r="B4" s="7" t="s">
        <v>62</v>
      </c>
      <c r="C4" s="254" t="s">
        <v>29</v>
      </c>
      <c r="D4" s="255"/>
      <c r="E4" s="255"/>
      <c r="F4" s="256"/>
    </row>
    <row r="5" spans="1:6" ht="17.45" customHeight="1">
      <c r="A5" s="8"/>
      <c r="B5" s="2" t="s">
        <v>63</v>
      </c>
      <c r="C5" s="257" t="s">
        <v>9</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20" t="s">
        <v>65</v>
      </c>
      <c r="C8" s="26">
        <v>1</v>
      </c>
      <c r="D8" s="3" t="s">
        <v>13</v>
      </c>
      <c r="E8" s="12">
        <v>23000</v>
      </c>
      <c r="F8" s="13">
        <f>+C8*E8</f>
        <v>23000</v>
      </c>
    </row>
    <row r="9" spans="1:6" ht="16.5">
      <c r="A9" s="10"/>
      <c r="B9" s="20" t="s">
        <v>42</v>
      </c>
      <c r="C9" s="26"/>
      <c r="D9" s="3"/>
      <c r="E9" s="12"/>
      <c r="F9" s="13"/>
    </row>
    <row r="10" spans="1:6" ht="16.5">
      <c r="A10" s="10"/>
      <c r="B10" s="20" t="s">
        <v>41</v>
      </c>
      <c r="C10" s="26"/>
      <c r="D10" s="3"/>
      <c r="E10" s="12"/>
      <c r="F10" s="13"/>
    </row>
    <row r="11" spans="1:6" ht="16.5" customHeight="1">
      <c r="A11" s="10"/>
      <c r="B11" s="20" t="s">
        <v>64</v>
      </c>
      <c r="C11" s="26"/>
      <c r="D11" s="3"/>
      <c r="E11" s="12"/>
      <c r="F11" s="13"/>
    </row>
    <row r="12" spans="1:6" ht="16.5">
      <c r="A12" s="10">
        <v>2</v>
      </c>
      <c r="B12" s="20" t="s">
        <v>43</v>
      </c>
      <c r="C12" s="26">
        <v>1</v>
      </c>
      <c r="D12" s="3" t="s">
        <v>13</v>
      </c>
      <c r="E12" s="12">
        <v>40000</v>
      </c>
      <c r="F12" s="13">
        <f>+C12*E12</f>
        <v>40000</v>
      </c>
    </row>
    <row r="13" spans="1:6" ht="16.5">
      <c r="A13" s="10"/>
      <c r="B13" s="20" t="s">
        <v>45</v>
      </c>
      <c r="C13" s="26"/>
      <c r="D13" s="3"/>
      <c r="E13" s="12"/>
      <c r="F13" s="13"/>
    </row>
    <row r="14" spans="1:6" ht="16.5">
      <c r="A14" s="10"/>
      <c r="B14" s="20" t="s">
        <v>44</v>
      </c>
      <c r="C14" s="26"/>
      <c r="D14" s="3"/>
      <c r="E14" s="12"/>
      <c r="F14" s="13"/>
    </row>
    <row r="15" spans="1:6" ht="16.5">
      <c r="A15" s="10"/>
      <c r="B15" s="20" t="s">
        <v>66</v>
      </c>
      <c r="C15" s="26"/>
      <c r="D15" s="3"/>
      <c r="E15" s="12"/>
      <c r="F15" s="13"/>
    </row>
    <row r="16" spans="1:6" ht="16.5">
      <c r="A16" s="10"/>
      <c r="B16" s="20" t="s">
        <v>47</v>
      </c>
      <c r="C16" s="26"/>
      <c r="D16" s="3"/>
      <c r="E16" s="12"/>
      <c r="F16" s="13"/>
    </row>
    <row r="17" spans="1:8" ht="16.5">
      <c r="A17" s="10"/>
      <c r="B17" s="20" t="s">
        <v>67</v>
      </c>
      <c r="C17" s="26"/>
      <c r="D17" s="3"/>
      <c r="E17" s="12"/>
      <c r="F17" s="13"/>
    </row>
    <row r="18" spans="1:8" ht="16.5">
      <c r="A18" s="10"/>
      <c r="B18" s="20" t="s">
        <v>48</v>
      </c>
      <c r="C18" s="26"/>
      <c r="D18" s="3"/>
      <c r="E18" s="12"/>
      <c r="F18" s="13"/>
    </row>
    <row r="19" spans="1:8" ht="16.5">
      <c r="A19" s="10">
        <v>3</v>
      </c>
      <c r="B19" s="20" t="s">
        <v>43</v>
      </c>
      <c r="C19" s="26">
        <v>1</v>
      </c>
      <c r="D19" s="3" t="s">
        <v>13</v>
      </c>
      <c r="E19" s="12">
        <v>25000</v>
      </c>
      <c r="F19" s="13">
        <f>+C19*E19</f>
        <v>25000</v>
      </c>
    </row>
    <row r="20" spans="1:8" ht="16.5">
      <c r="A20" s="10"/>
      <c r="B20" s="20" t="s">
        <v>49</v>
      </c>
      <c r="C20" s="26"/>
      <c r="D20" s="3"/>
      <c r="E20" s="12"/>
      <c r="F20" s="13"/>
    </row>
    <row r="21" spans="1:8" ht="16.5">
      <c r="A21" s="10"/>
      <c r="B21" s="20" t="s">
        <v>44</v>
      </c>
      <c r="C21" s="26"/>
      <c r="D21" s="3"/>
      <c r="E21" s="12"/>
      <c r="F21" s="13"/>
    </row>
    <row r="22" spans="1:8" ht="16.5">
      <c r="A22" s="10"/>
      <c r="B22" s="20" t="s">
        <v>46</v>
      </c>
      <c r="C22" s="26"/>
      <c r="D22" s="3"/>
      <c r="E22" s="12"/>
      <c r="F22" s="13"/>
    </row>
    <row r="23" spans="1:8" ht="16.5">
      <c r="A23" s="10"/>
      <c r="B23" s="20" t="s">
        <v>47</v>
      </c>
      <c r="C23" s="26"/>
      <c r="D23" s="3"/>
      <c r="E23" s="12"/>
      <c r="F23" s="13"/>
    </row>
    <row r="24" spans="1:8" ht="16.5">
      <c r="A24" s="10"/>
      <c r="B24" s="20" t="s">
        <v>67</v>
      </c>
      <c r="C24" s="26"/>
      <c r="D24" s="3"/>
      <c r="E24" s="12"/>
      <c r="F24" s="13"/>
    </row>
    <row r="25" spans="1:8" ht="16.5">
      <c r="A25" s="10"/>
      <c r="B25" s="20" t="s">
        <v>48</v>
      </c>
      <c r="C25" s="26"/>
      <c r="D25" s="3"/>
      <c r="E25" s="12"/>
      <c r="F25" s="13"/>
    </row>
    <row r="26" spans="1:8" ht="16.5">
      <c r="A26" s="10">
        <v>4</v>
      </c>
      <c r="B26" s="20" t="s">
        <v>50</v>
      </c>
      <c r="C26" s="26">
        <v>1</v>
      </c>
      <c r="D26" s="3" t="s">
        <v>13</v>
      </c>
      <c r="E26" s="12">
        <v>87500</v>
      </c>
      <c r="F26" s="13">
        <f>+C26*E26</f>
        <v>87500</v>
      </c>
    </row>
    <row r="27" spans="1:8" ht="16.5">
      <c r="A27" s="10"/>
      <c r="B27" s="20" t="s">
        <v>74</v>
      </c>
      <c r="C27" s="26"/>
      <c r="D27" s="3"/>
      <c r="E27" s="12"/>
      <c r="F27" s="13"/>
      <c r="H27" t="s">
        <v>68</v>
      </c>
    </row>
    <row r="28" spans="1:8" ht="16.5">
      <c r="A28" s="10"/>
      <c r="B28" s="20" t="s">
        <v>51</v>
      </c>
      <c r="C28" s="26"/>
      <c r="D28" s="3"/>
      <c r="E28" s="12"/>
      <c r="F28" s="13"/>
    </row>
    <row r="29" spans="1:8" ht="16.5">
      <c r="A29" s="10"/>
      <c r="B29" s="20" t="s">
        <v>52</v>
      </c>
      <c r="C29" s="26"/>
      <c r="D29" s="3"/>
      <c r="E29" s="12"/>
      <c r="F29" s="13"/>
    </row>
    <row r="30" spans="1:8" ht="16.5">
      <c r="A30" s="10"/>
      <c r="B30" s="20" t="s">
        <v>75</v>
      </c>
      <c r="C30" s="26"/>
      <c r="D30" s="3"/>
      <c r="E30" s="12"/>
      <c r="F30" s="13"/>
    </row>
    <row r="31" spans="1:8" ht="16.5">
      <c r="A31" s="10"/>
      <c r="B31" s="20" t="s">
        <v>53</v>
      </c>
      <c r="C31" s="26"/>
      <c r="D31" s="3"/>
      <c r="E31" s="12"/>
      <c r="F31" s="13"/>
    </row>
    <row r="32" spans="1:8" ht="16.5">
      <c r="A32" s="10">
        <v>5</v>
      </c>
      <c r="B32" s="31" t="s">
        <v>69</v>
      </c>
      <c r="C32" s="26">
        <v>1</v>
      </c>
      <c r="D32" s="3" t="s">
        <v>60</v>
      </c>
      <c r="E32" s="12">
        <v>105000</v>
      </c>
      <c r="F32" s="13">
        <f>+C32*E32</f>
        <v>105000</v>
      </c>
    </row>
    <row r="33" spans="1:6" ht="16.5">
      <c r="A33" s="10"/>
      <c r="B33" s="20" t="s">
        <v>54</v>
      </c>
      <c r="C33" s="26"/>
      <c r="D33" s="3"/>
      <c r="E33" s="12"/>
      <c r="F33" s="13"/>
    </row>
    <row r="34" spans="1:6" ht="16.5">
      <c r="A34" s="10"/>
      <c r="B34" s="20" t="s">
        <v>72</v>
      </c>
      <c r="C34" s="26"/>
      <c r="D34" s="3"/>
      <c r="E34" s="12"/>
      <c r="F34" s="13"/>
    </row>
    <row r="35" spans="1:6" ht="16.5">
      <c r="A35" s="21"/>
      <c r="B35" s="34" t="s">
        <v>55</v>
      </c>
      <c r="C35" s="32"/>
      <c r="D35" s="35"/>
      <c r="E35" s="25"/>
      <c r="F35" s="36"/>
    </row>
    <row r="36" spans="1:6" ht="16.5">
      <c r="A36" s="37"/>
      <c r="B36" s="38" t="s">
        <v>56</v>
      </c>
      <c r="C36" s="39"/>
      <c r="D36" s="40"/>
      <c r="E36" s="41"/>
      <c r="F36" s="42"/>
    </row>
    <row r="37" spans="1:6" ht="16.5">
      <c r="A37" s="10"/>
      <c r="B37" s="20" t="s">
        <v>57</v>
      </c>
      <c r="C37" s="26"/>
      <c r="D37" s="3"/>
      <c r="E37" s="12"/>
      <c r="F37" s="13"/>
    </row>
    <row r="38" spans="1:6" ht="16.5">
      <c r="A38" s="10"/>
      <c r="B38" s="31" t="s">
        <v>70</v>
      </c>
      <c r="C38" s="26"/>
      <c r="D38" s="3"/>
      <c r="E38" s="12"/>
      <c r="F38" s="13"/>
    </row>
    <row r="39" spans="1:6" ht="16.5">
      <c r="A39" s="10"/>
      <c r="B39" s="20" t="s">
        <v>54</v>
      </c>
      <c r="C39" s="26"/>
      <c r="D39" s="3"/>
      <c r="E39" s="12"/>
      <c r="F39" s="13"/>
    </row>
    <row r="40" spans="1:6" ht="16.5">
      <c r="A40" s="10"/>
      <c r="B40" s="20" t="s">
        <v>73</v>
      </c>
      <c r="C40" s="26"/>
      <c r="D40" s="3"/>
      <c r="E40" s="12"/>
      <c r="F40" s="13"/>
    </row>
    <row r="41" spans="1:6" ht="16.5">
      <c r="A41" s="10"/>
      <c r="B41" s="20" t="s">
        <v>58</v>
      </c>
      <c r="C41" s="26"/>
      <c r="D41" s="3"/>
      <c r="E41" s="12"/>
      <c r="F41" s="13"/>
    </row>
    <row r="42" spans="1:6" ht="16.5">
      <c r="A42" s="10"/>
      <c r="B42" s="20" t="s">
        <v>76</v>
      </c>
      <c r="C42" s="26"/>
      <c r="D42" s="3"/>
      <c r="E42" s="12"/>
      <c r="F42" s="13"/>
    </row>
    <row r="43" spans="1:6" ht="16.5">
      <c r="A43" s="10"/>
      <c r="B43" s="20" t="s">
        <v>71</v>
      </c>
      <c r="C43" s="26"/>
      <c r="D43" s="3"/>
      <c r="E43" s="12"/>
      <c r="F43" s="13"/>
    </row>
    <row r="44" spans="1:6" ht="16.5">
      <c r="A44" s="10"/>
      <c r="B44" s="30" t="s">
        <v>59</v>
      </c>
      <c r="C44" s="26"/>
      <c r="D44" s="3"/>
      <c r="E44" s="12"/>
      <c r="F44" s="13"/>
    </row>
    <row r="45" spans="1:6" ht="16.5">
      <c r="A45" s="21"/>
      <c r="B45" s="29"/>
      <c r="C45" s="32"/>
      <c r="D45" s="32"/>
      <c r="E45" s="33"/>
      <c r="F45" s="25"/>
    </row>
    <row r="46" spans="1:6" ht="16.5">
      <c r="A46" s="328" t="s">
        <v>14</v>
      </c>
      <c r="B46" s="329"/>
      <c r="C46" s="329"/>
      <c r="D46" s="329"/>
      <c r="E46" s="330"/>
      <c r="F46" s="27">
        <f>SUM(F7:F45)</f>
        <v>280500</v>
      </c>
    </row>
    <row r="47" spans="1:6" ht="16.5">
      <c r="A47" s="328" t="s">
        <v>15</v>
      </c>
      <c r="B47" s="329"/>
      <c r="C47" s="329"/>
      <c r="D47" s="329"/>
      <c r="E47" s="330"/>
      <c r="F47" s="27">
        <f>+F46*9%</f>
        <v>25245</v>
      </c>
    </row>
    <row r="48" spans="1:6" ht="16.5">
      <c r="A48" s="328" t="s">
        <v>16</v>
      </c>
      <c r="B48" s="329"/>
      <c r="C48" s="329"/>
      <c r="D48" s="329"/>
      <c r="E48" s="330"/>
      <c r="F48" s="27">
        <f>+F46*9%</f>
        <v>25245</v>
      </c>
    </row>
    <row r="49" spans="1:6" ht="17.45" customHeight="1">
      <c r="A49" s="331" t="s">
        <v>17</v>
      </c>
      <c r="B49" s="332"/>
      <c r="C49" s="332"/>
      <c r="D49" s="332"/>
      <c r="E49" s="333"/>
      <c r="F49" s="28">
        <f>SUM(F46:F48)</f>
        <v>330990</v>
      </c>
    </row>
    <row r="50" spans="1:6" ht="33" customHeight="1">
      <c r="A50" s="263" t="s">
        <v>77</v>
      </c>
      <c r="B50" s="264"/>
      <c r="C50" s="264"/>
      <c r="D50" s="264"/>
      <c r="E50" s="264"/>
      <c r="F50" s="265"/>
    </row>
    <row r="51" spans="1:6" ht="15" customHeight="1">
      <c r="A51" s="266" t="s">
        <v>18</v>
      </c>
      <c r="B51" s="267"/>
      <c r="C51" s="268" t="s">
        <v>19</v>
      </c>
      <c r="D51" s="269"/>
      <c r="E51" s="269"/>
      <c r="F51" s="270"/>
    </row>
    <row r="52" spans="1:6" ht="15" customHeight="1">
      <c r="A52" s="277" t="s">
        <v>20</v>
      </c>
      <c r="B52" s="278"/>
      <c r="C52" s="279" t="s">
        <v>21</v>
      </c>
      <c r="D52" s="278"/>
      <c r="E52" s="278"/>
      <c r="F52" s="280"/>
    </row>
    <row r="53" spans="1:6" ht="15" customHeight="1">
      <c r="A53" s="277" t="s">
        <v>22</v>
      </c>
      <c r="B53" s="278"/>
      <c r="C53" s="279" t="s">
        <v>23</v>
      </c>
      <c r="D53" s="278"/>
      <c r="E53" s="278"/>
      <c r="F53" s="280"/>
    </row>
    <row r="54" spans="1:6" ht="15" customHeight="1">
      <c r="A54" s="284" t="s">
        <v>24</v>
      </c>
      <c r="B54" s="285"/>
      <c r="C54" s="284" t="s">
        <v>25</v>
      </c>
      <c r="D54" s="285"/>
      <c r="E54" s="285"/>
      <c r="F54" s="286"/>
    </row>
    <row r="55" spans="1:6" ht="27" customHeight="1">
      <c r="A55" s="271" t="s">
        <v>26</v>
      </c>
      <c r="B55" s="272"/>
      <c r="C55" s="272"/>
      <c r="D55" s="272"/>
      <c r="E55" s="272"/>
      <c r="F55" s="273"/>
    </row>
    <row r="56" spans="1:6" ht="26.45" customHeight="1">
      <c r="A56" s="274" t="s">
        <v>27</v>
      </c>
      <c r="B56" s="275"/>
      <c r="C56" s="275"/>
      <c r="D56" s="275"/>
      <c r="E56" s="275"/>
      <c r="F56" s="276"/>
    </row>
  </sheetData>
  <mergeCells count="20">
    <mergeCell ref="A55:F55"/>
    <mergeCell ref="A56:F56"/>
    <mergeCell ref="A52:B52"/>
    <mergeCell ref="C52:F52"/>
    <mergeCell ref="A53:B53"/>
    <mergeCell ref="C53:F53"/>
    <mergeCell ref="A54:B54"/>
    <mergeCell ref="C54:F54"/>
    <mergeCell ref="A47:E47"/>
    <mergeCell ref="A48:E48"/>
    <mergeCell ref="A49:E49"/>
    <mergeCell ref="A50:F50"/>
    <mergeCell ref="A51:B51"/>
    <mergeCell ref="C51:F51"/>
    <mergeCell ref="A46:E46"/>
    <mergeCell ref="B1:F1"/>
    <mergeCell ref="A2:F2"/>
    <mergeCell ref="C3:F3"/>
    <mergeCell ref="C4:F4"/>
    <mergeCell ref="C5:F5"/>
  </mergeCells>
  <pageMargins left="0.7" right="0.7" top="0.75" bottom="0.75" header="0.3" footer="0.3"/>
  <pageSetup orientation="portrait"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28"/>
  <sheetViews>
    <sheetView workbookViewId="0">
      <selection activeCell="H11" sqref="H11"/>
    </sheetView>
  </sheetViews>
  <sheetFormatPr defaultRowHeight="15"/>
  <cols>
    <col min="1" max="1" width="5.5703125" customWidth="1"/>
    <col min="2" max="2" width="49.140625"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33</v>
      </c>
      <c r="D3" s="255"/>
      <c r="E3" s="255"/>
      <c r="F3" s="256"/>
    </row>
    <row r="4" spans="1:6" ht="29.25" customHeight="1">
      <c r="A4" s="6"/>
      <c r="B4" s="7" t="s">
        <v>8</v>
      </c>
      <c r="C4" s="254" t="s">
        <v>29</v>
      </c>
      <c r="D4" s="255"/>
      <c r="E4" s="255"/>
      <c r="F4" s="256"/>
    </row>
    <row r="5" spans="1:6" ht="27" customHeight="1">
      <c r="A5" s="8"/>
      <c r="B5" s="2" t="s">
        <v>2</v>
      </c>
      <c r="C5" s="257" t="s">
        <v>31</v>
      </c>
      <c r="D5" s="258"/>
      <c r="E5" s="258"/>
      <c r="F5" s="259"/>
    </row>
    <row r="6" spans="1:6" ht="16.5">
      <c r="A6" s="9" t="s">
        <v>3</v>
      </c>
      <c r="B6" s="9" t="s">
        <v>4</v>
      </c>
      <c r="C6" s="9" t="s">
        <v>5</v>
      </c>
      <c r="D6" s="9" t="s">
        <v>10</v>
      </c>
      <c r="E6" s="9" t="s">
        <v>11</v>
      </c>
      <c r="F6" s="9" t="s">
        <v>12</v>
      </c>
    </row>
    <row r="7" spans="1:6" ht="16.5">
      <c r="A7" s="10"/>
      <c r="B7" s="11"/>
      <c r="C7" s="26"/>
      <c r="D7" s="26"/>
      <c r="E7" s="12"/>
      <c r="F7" s="13"/>
    </row>
    <row r="8" spans="1:6" ht="16.5">
      <c r="A8" s="10">
        <v>1</v>
      </c>
      <c r="B8" s="20" t="s">
        <v>30</v>
      </c>
      <c r="C8" s="26">
        <v>4</v>
      </c>
      <c r="D8" s="3" t="s">
        <v>13</v>
      </c>
      <c r="E8" s="12">
        <v>2000</v>
      </c>
      <c r="F8" s="13">
        <f>+C8*E8</f>
        <v>8000</v>
      </c>
    </row>
    <row r="9" spans="1:6" ht="16.5">
      <c r="A9" s="10"/>
      <c r="B9" s="20" t="s">
        <v>39</v>
      </c>
      <c r="C9" s="26"/>
      <c r="D9" s="3"/>
      <c r="E9" s="12"/>
      <c r="F9" s="13"/>
    </row>
    <row r="10" spans="1:6" ht="16.5" customHeight="1">
      <c r="A10" s="10"/>
      <c r="B10" s="20"/>
      <c r="C10" s="26"/>
      <c r="D10" s="3"/>
      <c r="E10" s="12"/>
      <c r="F10" s="13"/>
    </row>
    <row r="11" spans="1:6" ht="16.5">
      <c r="A11" s="14"/>
      <c r="B11" s="20"/>
      <c r="C11" s="26"/>
      <c r="D11" s="17"/>
      <c r="E11" s="12"/>
      <c r="F11" s="19"/>
    </row>
    <row r="12" spans="1:6" ht="16.5">
      <c r="A12" s="14"/>
      <c r="B12" s="15"/>
      <c r="C12" s="26"/>
      <c r="D12" s="17"/>
      <c r="E12" s="12"/>
      <c r="F12" s="19"/>
    </row>
    <row r="13" spans="1:6" ht="16.5">
      <c r="A13" s="14"/>
      <c r="B13" s="15"/>
      <c r="C13" s="26"/>
      <c r="D13" s="17"/>
      <c r="E13" s="12"/>
      <c r="F13" s="19"/>
    </row>
    <row r="14" spans="1:6" ht="16.5">
      <c r="A14" s="14"/>
      <c r="B14" s="20"/>
      <c r="C14" s="26"/>
      <c r="D14" s="17"/>
      <c r="E14" s="12"/>
      <c r="F14" s="19"/>
    </row>
    <row r="15" spans="1:6" ht="16.5">
      <c r="A15" s="10"/>
      <c r="B15" s="20"/>
      <c r="C15" s="26"/>
      <c r="D15" s="3"/>
      <c r="E15" s="12"/>
      <c r="F15" s="13"/>
    </row>
    <row r="16" spans="1:6" ht="16.5">
      <c r="A16" s="10"/>
      <c r="B16" s="20"/>
      <c r="C16" s="26"/>
      <c r="D16" s="3"/>
      <c r="E16" s="12"/>
      <c r="F16" s="13"/>
    </row>
    <row r="17" spans="1:6" ht="16.5">
      <c r="A17" s="21"/>
      <c r="B17" s="22"/>
      <c r="C17" s="23"/>
      <c r="D17" s="23"/>
      <c r="E17" s="24"/>
      <c r="F17" s="25"/>
    </row>
    <row r="18" spans="1:6" ht="16.5">
      <c r="A18" s="328" t="s">
        <v>14</v>
      </c>
      <c r="B18" s="329"/>
      <c r="C18" s="329"/>
      <c r="D18" s="329"/>
      <c r="E18" s="330"/>
      <c r="F18" s="27">
        <f>SUM(F7:F17)</f>
        <v>8000</v>
      </c>
    </row>
    <row r="19" spans="1:6" ht="16.5">
      <c r="A19" s="328" t="s">
        <v>15</v>
      </c>
      <c r="B19" s="329"/>
      <c r="C19" s="329"/>
      <c r="D19" s="329"/>
      <c r="E19" s="330"/>
      <c r="F19" s="27">
        <f>+F18*9%</f>
        <v>720</v>
      </c>
    </row>
    <row r="20" spans="1:6" ht="16.5">
      <c r="A20" s="328" t="s">
        <v>16</v>
      </c>
      <c r="B20" s="329"/>
      <c r="C20" s="329"/>
      <c r="D20" s="329"/>
      <c r="E20" s="330"/>
      <c r="F20" s="27">
        <f>+F18*9%</f>
        <v>720</v>
      </c>
    </row>
    <row r="21" spans="1:6" ht="17.45" customHeight="1">
      <c r="A21" s="331" t="s">
        <v>17</v>
      </c>
      <c r="B21" s="332"/>
      <c r="C21" s="332"/>
      <c r="D21" s="332"/>
      <c r="E21" s="333"/>
      <c r="F21" s="28">
        <f>SUM(F18:F20)</f>
        <v>9440</v>
      </c>
    </row>
    <row r="22" spans="1:6" ht="33" customHeight="1">
      <c r="A22" s="263" t="s">
        <v>32</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8"/>
  <sheetViews>
    <sheetView workbookViewId="0">
      <selection activeCell="K4" sqref="K4"/>
    </sheetView>
  </sheetViews>
  <sheetFormatPr defaultRowHeight="15"/>
  <cols>
    <col min="1" max="1" width="5.5703125" customWidth="1"/>
    <col min="2" max="2" width="49.140625" customWidth="1"/>
    <col min="3" max="3" width="5.85546875" customWidth="1"/>
    <col min="4" max="4" width="6.85546875" customWidth="1"/>
    <col min="5" max="5" width="10.5703125" customWidth="1"/>
    <col min="6" max="6" width="12" customWidth="1"/>
  </cols>
  <sheetData>
    <row r="1" spans="1:6" ht="117" customHeight="1">
      <c r="A1" s="1"/>
      <c r="B1" s="290" t="s">
        <v>0</v>
      </c>
      <c r="C1" s="290"/>
      <c r="D1" s="290"/>
      <c r="E1" s="290"/>
      <c r="F1" s="291"/>
    </row>
    <row r="2" spans="1:6" ht="18" customHeight="1">
      <c r="A2" s="251" t="s">
        <v>6</v>
      </c>
      <c r="B2" s="252"/>
      <c r="C2" s="252"/>
      <c r="D2" s="252"/>
      <c r="E2" s="252"/>
      <c r="F2" s="253"/>
    </row>
    <row r="3" spans="1:6" ht="17.25">
      <c r="A3" s="4" t="s">
        <v>7</v>
      </c>
      <c r="B3" s="5" t="s">
        <v>1</v>
      </c>
      <c r="C3" s="254" t="s">
        <v>28</v>
      </c>
      <c r="D3" s="255"/>
      <c r="E3" s="255"/>
      <c r="F3" s="256"/>
    </row>
    <row r="4" spans="1:6" ht="29.25" customHeight="1">
      <c r="A4" s="6"/>
      <c r="B4" s="7" t="s">
        <v>8</v>
      </c>
      <c r="C4" s="254" t="s">
        <v>38</v>
      </c>
      <c r="D4" s="255"/>
      <c r="E4" s="255"/>
      <c r="F4" s="256"/>
    </row>
    <row r="5" spans="1:6" ht="27" customHeight="1">
      <c r="A5" s="8"/>
      <c r="B5" s="2" t="s">
        <v>2</v>
      </c>
      <c r="C5" s="257" t="s">
        <v>9</v>
      </c>
      <c r="D5" s="258"/>
      <c r="E5" s="258"/>
      <c r="F5" s="259"/>
    </row>
    <row r="6" spans="1:6" ht="16.5">
      <c r="A6" s="9" t="s">
        <v>3</v>
      </c>
      <c r="B6" s="9" t="s">
        <v>4</v>
      </c>
      <c r="C6" s="9" t="s">
        <v>5</v>
      </c>
      <c r="D6" s="9" t="s">
        <v>10</v>
      </c>
      <c r="E6" s="9" t="s">
        <v>11</v>
      </c>
      <c r="F6" s="9" t="s">
        <v>12</v>
      </c>
    </row>
    <row r="7" spans="1:6" ht="16.5">
      <c r="A7" s="10"/>
      <c r="B7" s="11" t="s">
        <v>34</v>
      </c>
      <c r="C7" s="26"/>
      <c r="D7" s="26"/>
      <c r="E7" s="12"/>
      <c r="F7" s="13"/>
    </row>
    <row r="8" spans="1:6">
      <c r="A8" s="14">
        <v>1</v>
      </c>
      <c r="B8" s="15" t="s">
        <v>35</v>
      </c>
      <c r="C8" s="16">
        <v>2</v>
      </c>
      <c r="D8" s="17" t="s">
        <v>13</v>
      </c>
      <c r="E8" s="18">
        <v>3200</v>
      </c>
      <c r="F8" s="19">
        <f>+C8*E8</f>
        <v>6400</v>
      </c>
    </row>
    <row r="9" spans="1:6">
      <c r="A9" s="14">
        <v>2</v>
      </c>
      <c r="B9" s="15" t="s">
        <v>36</v>
      </c>
      <c r="C9" s="16">
        <v>4</v>
      </c>
      <c r="D9" s="17" t="s">
        <v>13</v>
      </c>
      <c r="E9" s="18">
        <v>600</v>
      </c>
      <c r="F9" s="19">
        <f>+C9*E9</f>
        <v>2400</v>
      </c>
    </row>
    <row r="10" spans="1:6" ht="16.5" customHeight="1">
      <c r="A10" s="14"/>
      <c r="B10" s="20"/>
      <c r="C10" s="26"/>
      <c r="D10" s="17"/>
      <c r="E10" s="12"/>
      <c r="F10" s="19"/>
    </row>
    <row r="11" spans="1:6" ht="16.5">
      <c r="A11" s="14"/>
      <c r="B11" s="20"/>
      <c r="C11" s="26"/>
      <c r="D11" s="17"/>
      <c r="E11" s="12"/>
      <c r="F11" s="19"/>
    </row>
    <row r="12" spans="1:6" ht="16.5">
      <c r="A12" s="14"/>
      <c r="B12" s="15"/>
      <c r="C12" s="26"/>
      <c r="D12" s="17"/>
      <c r="E12" s="12"/>
      <c r="F12" s="19"/>
    </row>
    <row r="13" spans="1:6" ht="16.5">
      <c r="A13" s="14"/>
      <c r="B13" s="15"/>
      <c r="C13" s="26"/>
      <c r="D13" s="17"/>
      <c r="E13" s="12"/>
      <c r="F13" s="19"/>
    </row>
    <row r="14" spans="1:6" ht="16.5">
      <c r="A14" s="14"/>
      <c r="B14" s="20"/>
      <c r="C14" s="26"/>
      <c r="D14" s="17"/>
      <c r="E14" s="12"/>
      <c r="F14" s="19"/>
    </row>
    <row r="15" spans="1:6" ht="16.5">
      <c r="A15" s="10"/>
      <c r="B15" s="20"/>
      <c r="C15" s="26"/>
      <c r="D15" s="3"/>
      <c r="E15" s="12"/>
      <c r="F15" s="13"/>
    </row>
    <row r="16" spans="1:6" ht="16.5">
      <c r="A16" s="10"/>
      <c r="B16" s="20"/>
      <c r="C16" s="26"/>
      <c r="D16" s="3"/>
      <c r="E16" s="12"/>
      <c r="F16" s="13"/>
    </row>
    <row r="17" spans="1:6" ht="16.5">
      <c r="A17" s="21"/>
      <c r="B17" s="22"/>
      <c r="C17" s="23"/>
      <c r="D17" s="23"/>
      <c r="E17" s="24"/>
      <c r="F17" s="25"/>
    </row>
    <row r="18" spans="1:6" ht="16.5">
      <c r="A18" s="328" t="s">
        <v>14</v>
      </c>
      <c r="B18" s="329"/>
      <c r="C18" s="329"/>
      <c r="D18" s="329"/>
      <c r="E18" s="330"/>
      <c r="F18" s="27">
        <f>SUM(F7:F17)</f>
        <v>8800</v>
      </c>
    </row>
    <row r="19" spans="1:6" ht="16.5">
      <c r="A19" s="328" t="s">
        <v>15</v>
      </c>
      <c r="B19" s="329"/>
      <c r="C19" s="329"/>
      <c r="D19" s="329"/>
      <c r="E19" s="330"/>
      <c r="F19" s="27">
        <f>+F18*9%</f>
        <v>792</v>
      </c>
    </row>
    <row r="20" spans="1:6" ht="16.5">
      <c r="A20" s="328" t="s">
        <v>16</v>
      </c>
      <c r="B20" s="329"/>
      <c r="C20" s="329"/>
      <c r="D20" s="329"/>
      <c r="E20" s="330"/>
      <c r="F20" s="27">
        <f>+F18*9%</f>
        <v>792</v>
      </c>
    </row>
    <row r="21" spans="1:6" ht="17.45" customHeight="1">
      <c r="A21" s="331" t="s">
        <v>17</v>
      </c>
      <c r="B21" s="332"/>
      <c r="C21" s="332"/>
      <c r="D21" s="332"/>
      <c r="E21" s="333"/>
      <c r="F21" s="28">
        <f>SUM(F18:F20)</f>
        <v>10384</v>
      </c>
    </row>
    <row r="22" spans="1:6" ht="33" customHeight="1">
      <c r="A22" s="263" t="s">
        <v>37</v>
      </c>
      <c r="B22" s="264"/>
      <c r="C22" s="264"/>
      <c r="D22" s="264"/>
      <c r="E22" s="264"/>
      <c r="F22" s="265"/>
    </row>
    <row r="23" spans="1:6" ht="15" customHeight="1">
      <c r="A23" s="266" t="s">
        <v>18</v>
      </c>
      <c r="B23" s="267"/>
      <c r="C23" s="268" t="s">
        <v>19</v>
      </c>
      <c r="D23" s="269"/>
      <c r="E23" s="269"/>
      <c r="F23" s="270"/>
    </row>
    <row r="24" spans="1:6" ht="15" customHeight="1">
      <c r="A24" s="277" t="s">
        <v>20</v>
      </c>
      <c r="B24" s="278"/>
      <c r="C24" s="279" t="s">
        <v>21</v>
      </c>
      <c r="D24" s="278"/>
      <c r="E24" s="278"/>
      <c r="F24" s="280"/>
    </row>
    <row r="25" spans="1:6" ht="15" customHeight="1">
      <c r="A25" s="277" t="s">
        <v>22</v>
      </c>
      <c r="B25" s="278"/>
      <c r="C25" s="279" t="s">
        <v>23</v>
      </c>
      <c r="D25" s="278"/>
      <c r="E25" s="278"/>
      <c r="F25" s="280"/>
    </row>
    <row r="26" spans="1:6" ht="15" customHeight="1">
      <c r="A26" s="284" t="s">
        <v>24</v>
      </c>
      <c r="B26" s="285"/>
      <c r="C26" s="284" t="s">
        <v>25</v>
      </c>
      <c r="D26" s="285"/>
      <c r="E26" s="285"/>
      <c r="F26" s="286"/>
    </row>
    <row r="27" spans="1:6" ht="27" customHeight="1">
      <c r="A27" s="271" t="s">
        <v>26</v>
      </c>
      <c r="B27" s="272"/>
      <c r="C27" s="272"/>
      <c r="D27" s="272"/>
      <c r="E27" s="272"/>
      <c r="F27" s="273"/>
    </row>
    <row r="28" spans="1:6" ht="26.45" customHeight="1">
      <c r="A28" s="274" t="s">
        <v>27</v>
      </c>
      <c r="B28" s="275"/>
      <c r="C28" s="275"/>
      <c r="D28" s="275"/>
      <c r="E28" s="275"/>
      <c r="F28" s="276"/>
    </row>
  </sheetData>
  <mergeCells count="20">
    <mergeCell ref="A27:F27"/>
    <mergeCell ref="A28:F28"/>
    <mergeCell ref="A24:B24"/>
    <mergeCell ref="C24:F24"/>
    <mergeCell ref="A25:B25"/>
    <mergeCell ref="C25:F25"/>
    <mergeCell ref="A26:B26"/>
    <mergeCell ref="C26:F26"/>
    <mergeCell ref="A19:E19"/>
    <mergeCell ref="A20:E20"/>
    <mergeCell ref="A21:E21"/>
    <mergeCell ref="A22:F22"/>
    <mergeCell ref="A23:B23"/>
    <mergeCell ref="C23:F23"/>
    <mergeCell ref="A18:E18"/>
    <mergeCell ref="B1:F1"/>
    <mergeCell ref="A2:F2"/>
    <mergeCell ref="C3:F3"/>
    <mergeCell ref="C4:F4"/>
    <mergeCell ref="C5:F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109</vt:i4>
      </vt:variant>
    </vt:vector>
  </HeadingPairs>
  <TitlesOfParts>
    <vt:vector size="109" baseType="lpstr">
      <vt:lpstr>Quo No.121 LUMENSPACE (2)</vt:lpstr>
      <vt:lpstr>Quo No.1</vt:lpstr>
      <vt:lpstr>Quo No.121 LUMENSPACE</vt:lpstr>
      <vt:lpstr>Quo No.120 SURETEX (40)</vt:lpstr>
      <vt:lpstr>Quo No.119 SURETEX (48)</vt:lpstr>
      <vt:lpstr>Quo No.115 SURETEX (42)</vt:lpstr>
      <vt:lpstr>Quo No.111 SURETEX (49)</vt:lpstr>
      <vt:lpstr>Quo No.110 EQUINOX SOLU (5)</vt:lpstr>
      <vt:lpstr>Quo No.109 S V ENG</vt:lpstr>
      <vt:lpstr>Quo No.108 SURETEX (48)</vt:lpstr>
      <vt:lpstr>Quo No.107 SURETEX (47)</vt:lpstr>
      <vt:lpstr>Quo No.106 SURETEX (46)</vt:lpstr>
      <vt:lpstr>Quo No.105 ELECTROLINKS TECH</vt:lpstr>
      <vt:lpstr>Quo No.104 CAPARO ENG </vt:lpstr>
      <vt:lpstr>Quo No.103 INDRA FOOD (2)</vt:lpstr>
      <vt:lpstr>Quo No.102 SURETEX (45)</vt:lpstr>
      <vt:lpstr>Quo No.101 AMPHENOL (8)</vt:lpstr>
      <vt:lpstr>Quo No.100 SAGIX</vt:lpstr>
      <vt:lpstr>Quo No.099 EQUINOX SOLU (4)</vt:lpstr>
      <vt:lpstr>Quo No.096 SURETEX (44)</vt:lpstr>
      <vt:lpstr>Quo No.095 SURETEX (43)</vt:lpstr>
      <vt:lpstr>Quo No.094 SURETEX (44)</vt:lpstr>
      <vt:lpstr>Quo No.093 SURETEX (42)</vt:lpstr>
      <vt:lpstr>Quo No.092 SURETEX (41)</vt:lpstr>
      <vt:lpstr>Quo No.091 SURETEX (39)</vt:lpstr>
      <vt:lpstr>Quo No.090 INDRA FOOD</vt:lpstr>
      <vt:lpstr>Quo No.089 SURETEX (41)</vt:lpstr>
      <vt:lpstr>Quo No.088 SURETEX (42)</vt:lpstr>
      <vt:lpstr>Quo No.087 AQUMATIX INC (2)</vt:lpstr>
      <vt:lpstr>Quo No.086 AQUMATIX INC</vt:lpstr>
      <vt:lpstr>Quo No.085 AMPHENOL (7)</vt:lpstr>
      <vt:lpstr>Quo No.084 SURETEX (40)</vt:lpstr>
      <vt:lpstr>Quo No.082 SURETEX (39)</vt:lpstr>
      <vt:lpstr>Quo No.081 SURETEX (38)</vt:lpstr>
      <vt:lpstr>Quo No.080 SURETEX (37)</vt:lpstr>
      <vt:lpstr>Quo No.079 SURETEX (36)</vt:lpstr>
      <vt:lpstr>Quo No.078 SURETEX (35)</vt:lpstr>
      <vt:lpstr>Quo No.077 SURETEX (35)</vt:lpstr>
      <vt:lpstr>Quo No.076 SURETEX (34)</vt:lpstr>
      <vt:lpstr>Quo No.075 SURETEX (33)</vt:lpstr>
      <vt:lpstr>Quo No.074 SURETEX (32)</vt:lpstr>
      <vt:lpstr>Quo No.073 CHETHAN</vt:lpstr>
      <vt:lpstr>Quo No.072 AMPHENOL (6)</vt:lpstr>
      <vt:lpstr>Quo No.071 SURETEX (33)</vt:lpstr>
      <vt:lpstr>Quo No.070 SURETEX (32)</vt:lpstr>
      <vt:lpstr>Quo No.069 V L ENGINEERING</vt:lpstr>
      <vt:lpstr>Quo No.068 AMPHENOL (6)</vt:lpstr>
      <vt:lpstr>Quo No.067 SURETEX (38)</vt:lpstr>
      <vt:lpstr>Quo No.066 EQUINOX SOLU (3)</vt:lpstr>
      <vt:lpstr>Quo No.065 KMF (3)</vt:lpstr>
      <vt:lpstr>Quo No.064 SURETEX (37)</vt:lpstr>
      <vt:lpstr>Quo No.063 SURETEX (36)</vt:lpstr>
      <vt:lpstr>Quo No.062 SURETEX (35)</vt:lpstr>
      <vt:lpstr>Quo No.061 EQUINOX SOLU (2)</vt:lpstr>
      <vt:lpstr>Quo No.060 AMPHENOL (6)</vt:lpstr>
      <vt:lpstr>Quo No.059 AMPHENOL (5)</vt:lpstr>
      <vt:lpstr>Quo No.058 SURETEX (35)</vt:lpstr>
      <vt:lpstr>Quo No.057 SURETEX (34)</vt:lpstr>
      <vt:lpstr>Quo No.056 THERMEX INDIA</vt:lpstr>
      <vt:lpstr>Quo No.055 EQUINOX SOLU</vt:lpstr>
      <vt:lpstr>054 AMPHENOL</vt:lpstr>
      <vt:lpstr>Quo No.053 SURETEX (33)</vt:lpstr>
      <vt:lpstr>Quo No.052 SURETEX (32)</vt:lpstr>
      <vt:lpstr>Quo No.051 SURETEX (31)</vt:lpstr>
      <vt:lpstr>Quo No.050 BAMUL</vt:lpstr>
      <vt:lpstr>Quo No.049 SURETEX (29)</vt:lpstr>
      <vt:lpstr>Quo No.048 SURETEX (28)</vt:lpstr>
      <vt:lpstr>Quo No.047 SURETEX (32)</vt:lpstr>
      <vt:lpstr>Quo No.046 SURETEX (31)</vt:lpstr>
      <vt:lpstr>Quo No.045 SURETEX (30)</vt:lpstr>
      <vt:lpstr>Quo No.044 SURETEX (29)</vt:lpstr>
      <vt:lpstr>Quo No.043 SURETEX (29)</vt:lpstr>
      <vt:lpstr>Quo No.042 SURETEX (28)</vt:lpstr>
      <vt:lpstr>Quo No.041 SURETEX (27)</vt:lpstr>
      <vt:lpstr>Quo No.040 SURETEX (26)</vt:lpstr>
      <vt:lpstr>Quo No.039 SURETEX (25)</vt:lpstr>
      <vt:lpstr>Quo No.038 SURETEX (24)</vt:lpstr>
      <vt:lpstr>Quo No.037 SURETEX (23)</vt:lpstr>
      <vt:lpstr>Quo No.036 SURETEX (22)</vt:lpstr>
      <vt:lpstr>Quo No.035 SURETEX (21)</vt:lpstr>
      <vt:lpstr>Quo No.034 SURETEX (20)</vt:lpstr>
      <vt:lpstr>Quo No.033 SURETEX (19)</vt:lpstr>
      <vt:lpstr>Quo No.032 SURETEX (18)</vt:lpstr>
      <vt:lpstr>Quo No.031 SURETEX (17)</vt:lpstr>
      <vt:lpstr>Quo No.025 ISF INDUS (2)</vt:lpstr>
      <vt:lpstr>Quo No.024 AMPHENAL (2)</vt:lpstr>
      <vt:lpstr>Quo No.023 SURETEX (16)</vt:lpstr>
      <vt:lpstr>Quo No.022 SURETEX (16)</vt:lpstr>
      <vt:lpstr>Quo No.021 SURETEX (15)</vt:lpstr>
      <vt:lpstr>Quo No.020 SURETEX (14)</vt:lpstr>
      <vt:lpstr>Quo No.019 KMF (2)</vt:lpstr>
      <vt:lpstr>Quo No.018 SURETEX (13)</vt:lpstr>
      <vt:lpstr>Quo No.017 SURETEX (12)</vt:lpstr>
      <vt:lpstr>Quo No.016 SURETEX (11)</vt:lpstr>
      <vt:lpstr>Quo No.015 SURETEX (10)</vt:lpstr>
      <vt:lpstr>Quo No.014 RENUKA SUGAR (2)</vt:lpstr>
      <vt:lpstr>Quo No.013 RENUKA SUGAR</vt:lpstr>
      <vt:lpstr>Quo No.012 SURETEX (9)</vt:lpstr>
      <vt:lpstr>Quo No.011 SURETEX (8)</vt:lpstr>
      <vt:lpstr>Quo No.010 KMF</vt:lpstr>
      <vt:lpstr>Quo No.009 SURETEX (7)</vt:lpstr>
      <vt:lpstr>Quo No.008 ISF INDUS</vt:lpstr>
      <vt:lpstr>Quo No.007 SURETEX (6)</vt:lpstr>
      <vt:lpstr>Quo No.006 SURETEX (5)</vt:lpstr>
      <vt:lpstr>Quo No.005 SURETEX (4)</vt:lpstr>
      <vt:lpstr>Quo No.004 SURETEX (3)</vt:lpstr>
      <vt:lpstr>Quo No.003 AMPHENAL</vt:lpstr>
      <vt:lpstr>Quo No.002 SURETEX (2)</vt:lpstr>
      <vt:lpstr>Quo No.001 SURETEX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2026-06-25T14:17:38Z</dcterms:modified>
</cp:coreProperties>
</file>